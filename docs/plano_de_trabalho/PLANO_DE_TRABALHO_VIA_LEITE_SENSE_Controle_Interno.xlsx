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spesas" sheetId="2" state="visible" r:id="rId2"/>
    <sheet xmlns:r="http://schemas.openxmlformats.org/officeDocument/2006/relationships" name="Desembolso mensal" sheetId="3" state="visible" r:id="rId3"/>
    <sheet xmlns:r="http://schemas.openxmlformats.org/officeDocument/2006/relationships" name="Objetivos e evidê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5C3A"/>
      </patternFill>
    </fill>
    <fill>
      <patternFill patternType="solid">
        <fgColor rgb="00E3F0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2" fillId="3" borderId="1" pivotButton="0" quotePrefix="0" xfId="0"/>
    <xf numFmtId="4" fontId="2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0" fillId="0" borderId="0" pivotButton="0" quotePrefix="0" xfId="0"/>
    <xf numFmtId="0" fontId="2" fillId="0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36" customWidth="1" min="3" max="3"/>
  </cols>
  <sheetData>
    <row r="1">
      <c r="A1" s="1" t="inlineStr">
        <is>
          <t>Resumo financeiro — VIA LEITE SENSE Saúde (controle interno)</t>
        </is>
      </c>
    </row>
    <row r="3">
      <c r="A3" s="2" t="inlineStr">
        <is>
          <t>Capital (subvenção)</t>
        </is>
      </c>
      <c r="B3" s="3">
        <f>SUMIFS(Despesas!J2:J39,Despesas!B2:B39,"Subvenção",Despesas!C2:C39,"Capital")</f>
        <v/>
      </c>
    </row>
    <row r="4">
      <c r="A4" s="2" t="inlineStr">
        <is>
          <t>Custeio (subvenção)</t>
        </is>
      </c>
      <c r="B4" s="3">
        <f>SUMIFS(Despesas!J2:J39,Despesas!B2:B39,"Subvenção",Despesas!C2:C39,"Custeio")</f>
        <v/>
      </c>
    </row>
    <row r="5">
      <c r="A5" s="4" t="inlineStr">
        <is>
          <t>TOTAL SUBVENÇÃO</t>
        </is>
      </c>
      <c r="B5" s="5">
        <f>B3+B4</f>
        <v/>
      </c>
      <c r="C5">
        <f>IF(B5=60000.0,"Utiliza 100% do limite","DIVERGE DO LIMITE")</f>
        <v/>
      </c>
    </row>
    <row r="6">
      <c r="A6" s="2" t="inlineStr">
        <is>
          <t>1ª parcela — meses 1 a 6 (subvenção)</t>
        </is>
      </c>
      <c r="B6" s="3">
        <f>SUMIFS(Despesas!J2:J39,Despesas!B2:B39,"Subvenção",Despesas!D2:D39,"1ª")</f>
        <v/>
      </c>
      <c r="C6">
        <f>IF(B6=30000.0,"OK — R$ 30 mil","DIVERGE")</f>
        <v/>
      </c>
    </row>
    <row r="7">
      <c r="A7" s="2" t="inlineStr">
        <is>
          <t>2ª parcela — meses 7 a 12 (subvenção)</t>
        </is>
      </c>
      <c r="B7" s="3">
        <f>SUMIFS(Despesas!J2:J39,Despesas!B2:B39,"Subvenção",Despesas!D2:D39,"2ª")</f>
        <v/>
      </c>
      <c r="C7">
        <f>IF(B7=30000.0,"OK — R$ 30 mil","DIVERGE")</f>
        <v/>
      </c>
    </row>
    <row r="8">
      <c r="A8" s="2" t="inlineStr">
        <is>
          <t>Contrapartida</t>
        </is>
      </c>
      <c r="B8" s="3">
        <f>SUMIF(Despesas!B2:B39,"Contrapartida",Despesas!J2:J39)</f>
        <v/>
      </c>
      <c r="C8">
        <f>IF(B8&gt;=60000.0*10%,"DENTRO DO LIMITE MÍNIMO EXIGIDO","ABAIXO DE 10%")</f>
        <v/>
      </c>
    </row>
    <row r="9">
      <c r="A9" s="4" t="inlineStr">
        <is>
          <t>TOTAL DO PROJETO</t>
        </is>
      </c>
      <c r="B9" s="5">
        <f>B5+B8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8" customWidth="1" min="4" max="4"/>
    <col width="34" customWidth="1" min="5" max="5"/>
    <col width="40" customWidth="1" min="6" max="6"/>
    <col width="55" customWidth="1" min="7" max="7"/>
    <col width="8" customWidth="1" min="8" max="8"/>
    <col width="12" customWidth="1" min="9" max="9"/>
    <col width="13" customWidth="1" min="10" max="10"/>
    <col width="11" customWidth="1" min="11" max="11"/>
    <col width="14" customWidth="1" min="12" max="12"/>
    <col width="60" customWidth="1" min="13" max="13"/>
    <col width="14" customWidth="1" min="14" max="14"/>
    <col width="14" customWidth="1" min="15" max="15"/>
    <col width="14" customWidth="1" min="16" max="16"/>
  </cols>
  <sheetData>
    <row r="1">
      <c r="A1" s="6" t="inlineStr">
        <is>
          <t>ID</t>
        </is>
      </c>
      <c r="B1" s="6" t="inlineStr">
        <is>
          <t>Fonte</t>
        </is>
      </c>
      <c r="C1" s="6" t="inlineStr">
        <is>
          <t>Natureza</t>
        </is>
      </c>
      <c r="D1" s="6" t="inlineStr">
        <is>
          <t>Parcela</t>
        </is>
      </c>
      <c r="E1" s="6" t="inlineStr">
        <is>
          <t>Rubrica</t>
        </is>
      </c>
      <c r="F1" s="6" t="inlineStr">
        <is>
          <t>Item</t>
        </is>
      </c>
      <c r="G1" s="6" t="inlineStr">
        <is>
          <t>Especificação</t>
        </is>
      </c>
      <c r="H1" s="6" t="inlineStr">
        <is>
          <t>Qtd</t>
        </is>
      </c>
      <c r="I1" s="6" t="inlineStr">
        <is>
          <t>Vl unitário</t>
        </is>
      </c>
      <c r="J1" s="6" t="inlineStr">
        <is>
          <t>Total</t>
        </is>
      </c>
      <c r="K1" s="6" t="inlineStr">
        <is>
          <t>Objetivo(s)</t>
        </is>
      </c>
      <c r="L1" s="6" t="inlineStr">
        <is>
          <t>Meses</t>
        </is>
      </c>
      <c r="M1" s="6" t="inlineStr">
        <is>
          <t>Justificativa</t>
        </is>
      </c>
      <c r="N1" s="6" t="inlineStr">
        <is>
          <t>Orçamento 1</t>
        </is>
      </c>
      <c r="O1" s="6" t="inlineStr">
        <is>
          <t>Orçamento 2</t>
        </is>
      </c>
      <c r="P1" s="6" t="inlineStr">
        <is>
          <t>Orçamento 3</t>
        </is>
      </c>
    </row>
    <row r="2">
      <c r="A2" s="7" t="inlineStr">
        <is>
          <t>C1</t>
        </is>
      </c>
      <c r="B2" s="7" t="inlineStr">
        <is>
          <t>Subvenção</t>
        </is>
      </c>
      <c r="C2" s="7" t="inlineStr">
        <is>
          <t>Capital</t>
        </is>
      </c>
      <c r="D2" s="7" t="inlineStr">
        <is>
          <t>1ª</t>
        </is>
      </c>
      <c r="E2" s="7" t="inlineStr">
        <is>
          <t>CAPITAL: Aquisição de máquinas, equipamentos, aparelhos e utensílios</t>
        </is>
      </c>
      <c r="F2" s="7" t="inlineStr">
        <is>
          <t>Computador portátil para desenvolvimento e ciência de dados</t>
        </is>
      </c>
      <c r="G2" s="7" t="inlineStr">
        <is>
          <t>Processador de 8 núcleos/16 threads ou superior; 32 GB de RAM; SSD NVMe 1 TB; GPU dedicada com 8 GB; tela 15,6".</t>
        </is>
      </c>
      <c r="H2" s="7" t="n">
        <v>1</v>
      </c>
      <c r="I2" s="8" t="n">
        <v>8500</v>
      </c>
      <c r="J2" s="8">
        <f>H2*I2</f>
        <v/>
      </c>
      <c r="K2" s="7" t="inlineStr">
        <is>
          <t>2, 3 e 5</t>
        </is>
      </c>
      <c r="L2" s="7" t="inlineStr">
        <is>
          <t>M1</t>
        </is>
      </c>
      <c r="M2" s="7" t="inlineStr">
        <is>
          <t>Uso exclusivo no projeto para compilar o firmware dos protótipos, rodar o ambiente de testes e treinar e recalibrar os modelos com as séries de telemetria das propriedades. Os equipamentos pessoais da equipe não comportam o treinamento com dados de alta frequência. Vinculado aos objetivos específicos 2, 3 e 5; aquisição no mês 1 (1ª parcela).</t>
        </is>
      </c>
    </row>
    <row r="3">
      <c r="A3" s="7" t="inlineStr">
        <is>
          <t>C2</t>
        </is>
      </c>
      <c r="B3" s="7" t="inlineStr">
        <is>
          <t>Subvenção</t>
        </is>
      </c>
      <c r="C3" s="7" t="inlineStr">
        <is>
          <t>Capital</t>
        </is>
      </c>
      <c r="D3" s="7" t="inlineStr">
        <is>
          <t>1ª</t>
        </is>
      </c>
      <c r="E3" s="7" t="inlineStr">
        <is>
          <t>CAPITAL: Aquisição de máquinas, equipamentos, aparelhos e utensílios</t>
        </is>
      </c>
      <c r="F3" s="7" t="inlineStr">
        <is>
          <t>Estação de solda com controle digital de temperatura</t>
        </is>
      </c>
      <c r="G3" s="7" t="inlineStr">
        <is>
          <t>Potência ≥ 60 W, faixa 200–480 °C, com suporte e esponja.</t>
        </is>
      </c>
      <c r="H3" s="7" t="n">
        <v>1</v>
      </c>
      <c r="I3" s="8" t="n">
        <v>700</v>
      </c>
      <c r="J3" s="8">
        <f>H3*I3</f>
        <v/>
      </c>
      <c r="K3" s="7" t="inlineStr">
        <is>
          <t>2</t>
        </is>
      </c>
      <c r="L3" s="7" t="inlineStr">
        <is>
          <t>M1</t>
        </is>
      </c>
      <c r="M3" s="7" t="inlineStr">
        <is>
          <t>Montagem dos protótipos e das unidades de campo (soldagem de sensores, conectores e placas) e reparos durante o piloto. Vinculado ao objetivo específico 2; aquisição no mês 1 (1ª parcela).</t>
        </is>
      </c>
    </row>
    <row r="4">
      <c r="A4" s="7" t="inlineStr">
        <is>
          <t>C3</t>
        </is>
      </c>
      <c r="B4" s="7" t="inlineStr">
        <is>
          <t>Subvenção</t>
        </is>
      </c>
      <c r="C4" s="7" t="inlineStr">
        <is>
          <t>Capital</t>
        </is>
      </c>
      <c r="D4" s="7" t="inlineStr">
        <is>
          <t>1ª</t>
        </is>
      </c>
      <c r="E4" s="7" t="inlineStr">
        <is>
          <t>CAPITAL: Aquisição de máquinas, equipamentos, aparelhos e utensílios</t>
        </is>
      </c>
      <c r="F4" s="7" t="inlineStr">
        <is>
          <t>Multímetro digital true RMS</t>
        </is>
      </c>
      <c r="G4" s="7" t="inlineStr">
        <is>
          <t>Categoria CAT III 600 V; mede tensão, corrente, resistência, continuidade e temperatura.</t>
        </is>
      </c>
      <c r="H4" s="7" t="n">
        <v>1</v>
      </c>
      <c r="I4" s="8" t="n">
        <v>450</v>
      </c>
      <c r="J4" s="8">
        <f>H4*I4</f>
        <v/>
      </c>
      <c r="K4" s="7" t="inlineStr">
        <is>
          <t>2 e 4</t>
        </is>
      </c>
      <c r="L4" s="7" t="inlineStr">
        <is>
          <t>M1</t>
        </is>
      </c>
      <c r="M4" s="7" t="inlineStr">
        <is>
          <t>Verificação de alimentação, consumo em bateria e diagnóstico de falhas na bancada e na instalação em campo. Vinculado aos objetivos específicos 2 e 4; aquisição no mês 1 (1ª parcela).</t>
        </is>
      </c>
    </row>
    <row r="5">
      <c r="A5" s="7" t="inlineStr">
        <is>
          <t>C4</t>
        </is>
      </c>
      <c r="B5" s="7" t="inlineStr">
        <is>
          <t>Subvenção</t>
        </is>
      </c>
      <c r="C5" s="7" t="inlineStr">
        <is>
          <t>Capital</t>
        </is>
      </c>
      <c r="D5" s="7" t="inlineStr">
        <is>
          <t>1ª</t>
        </is>
      </c>
      <c r="E5" s="7" t="inlineStr">
        <is>
          <t>CAPITAL: Aquisição de máquinas, equipamentos, aparelhos e utensílios</t>
        </is>
      </c>
      <c r="F5" s="7" t="inlineStr">
        <is>
          <t>Fonte de alimentação de bancada regulável</t>
        </is>
      </c>
      <c r="G5" s="7" t="inlineStr">
        <is>
          <t>Saída 0–30 V / 0–5 A, com ajuste fino e indicação digital de tensão e corrente.</t>
        </is>
      </c>
      <c r="H5" s="7" t="n">
        <v>1</v>
      </c>
      <c r="I5" s="8" t="n">
        <v>650</v>
      </c>
      <c r="J5" s="8">
        <f>H5*I5</f>
        <v/>
      </c>
      <c r="K5" s="7" t="inlineStr">
        <is>
          <t>2</t>
        </is>
      </c>
      <c r="L5" s="7" t="inlineStr">
        <is>
          <t>M1</t>
        </is>
      </c>
      <c r="M5" s="7" t="inlineStr">
        <is>
          <t>Ensaios de consumo, simulação de queda e retorno de energia e teste de autonomia em bateria, exigidos pelo critério de aceite dos protótipos. Vinculado ao objetivo específico 2; aquisição no mês 1 (1ª parcela).</t>
        </is>
      </c>
    </row>
    <row r="6">
      <c r="A6" s="7" t="inlineStr">
        <is>
          <t>C5</t>
        </is>
      </c>
      <c r="B6" s="7" t="inlineStr">
        <is>
          <t>Subvenção</t>
        </is>
      </c>
      <c r="C6" s="7" t="inlineStr">
        <is>
          <t>Capital</t>
        </is>
      </c>
      <c r="D6" s="7" t="inlineStr">
        <is>
          <t>1ª</t>
        </is>
      </c>
      <c r="E6" s="7" t="inlineStr">
        <is>
          <t>CAPITAL: Aquisição de máquinas, equipamentos, aparelhos e utensílios</t>
        </is>
      </c>
      <c r="F6" s="7" t="inlineStr">
        <is>
          <t>Impressora 3D de fabricação por filamento fundido</t>
        </is>
      </c>
      <c r="G6" s="7" t="inlineStr">
        <is>
          <t>Área de impressão ≥ 250 × 250 × 250 mm; mesa aquecida ≥ 100 °C; câmara fechada; nivelamento automático; compatível com PETG e ASA.</t>
        </is>
      </c>
      <c r="H6" s="7" t="n">
        <v>1</v>
      </c>
      <c r="I6" s="8" t="n">
        <v>5500</v>
      </c>
      <c r="J6" s="8">
        <f>H6*I6</f>
        <v/>
      </c>
      <c r="K6" s="7" t="inlineStr">
        <is>
          <t>2 e 4</t>
        </is>
      </c>
      <c r="L6" s="7" t="inlineStr">
        <is>
          <t>M2</t>
        </is>
      </c>
      <c r="M6" s="7" t="inlineStr">
        <is>
          <t>Fabricação dos gabinetes estanques, suportes de sonda e abrigos de radiação das microestações, sob medida para cada tanque e curral, com iteração rápida do desenho após os ensaios e reposição de peças no piloto. A câmara fechada é necessária para o ASA, resistente a UV e a produtos de limpeza. Vinculado aos objetivos específicos 2 e 4; aquisição no mês 2 (1ª parcela).</t>
        </is>
      </c>
    </row>
    <row r="7">
      <c r="A7" s="7" t="inlineStr">
        <is>
          <t>C6</t>
        </is>
      </c>
      <c r="B7" s="7" t="inlineStr">
        <is>
          <t>Subvenção</t>
        </is>
      </c>
      <c r="C7" s="7" t="inlineStr">
        <is>
          <t>Capital</t>
        </is>
      </c>
      <c r="D7" s="7" t="inlineStr">
        <is>
          <t>1ª</t>
        </is>
      </c>
      <c r="E7" s="7" t="inlineStr">
        <is>
          <t>CAPITAL: Aquisição de máquinas, equipamentos, aparelhos e utensílios</t>
        </is>
      </c>
      <c r="F7" s="7" t="inlineStr">
        <is>
          <t>Computador de borda (gateway) — prova de conceito</t>
        </is>
      </c>
      <c r="G7" s="7" t="inlineStr">
        <is>
          <t>computador de placa única 64 bits, 4 núcleos, 8 GB de RAM, com gabinete com dissipação ativa, fonte de 27 W e cartão de memória industrial de 32 GB.</t>
        </is>
      </c>
      <c r="H7" s="7" t="n">
        <v>1</v>
      </c>
      <c r="I7" s="8" t="n">
        <v>1100</v>
      </c>
      <c r="J7" s="8">
        <f>H7*I7</f>
        <v/>
      </c>
      <c r="K7" s="7" t="inlineStr">
        <is>
          <t>2</t>
        </is>
      </c>
      <c r="L7" s="7" t="inlineStr">
        <is>
          <t>M3</t>
        </is>
      </c>
      <c r="M7" s="7" t="inlineStr">
        <is>
          <t>Recebe os dados dos sensores na propriedade da prova de conceito, armazena durante quedas de internet e sincroniza com a nuvem, para que nenhuma leitura se perca justamente durante o evento que o sistema precisa detectar. Vinculado ao objetivo específico 2; aquisição no mês 3 (1ª parcela).</t>
        </is>
      </c>
    </row>
    <row r="8">
      <c r="A8" s="7" t="inlineStr">
        <is>
          <t>C7</t>
        </is>
      </c>
      <c r="B8" s="7" t="inlineStr">
        <is>
          <t>Subvenção</t>
        </is>
      </c>
      <c r="C8" s="7" t="inlineStr">
        <is>
          <t>Capital</t>
        </is>
      </c>
      <c r="D8" s="7" t="inlineStr">
        <is>
          <t>1ª</t>
        </is>
      </c>
      <c r="E8" s="7" t="inlineStr">
        <is>
          <t>CAPITAL: Aquisição de máquinas, equipamentos, aparelhos e utensílios</t>
        </is>
      </c>
      <c r="F8" s="7" t="inlineStr">
        <is>
          <t>Roteador 4G com antena externa — prova de conceito</t>
        </is>
      </c>
      <c r="G8" s="7" t="inlineStr">
        <is>
          <t>roteador LTE categoria 4 com slot para chip, Wi-Fi e porta Ethernet, com antena externa de 9 dBi, cabo de 5 m e suporte de mastro.</t>
        </is>
      </c>
      <c r="H8" s="7" t="n">
        <v>1</v>
      </c>
      <c r="I8" s="8" t="n">
        <v>750</v>
      </c>
      <c r="J8" s="8">
        <f>H8*I8</f>
        <v/>
      </c>
      <c r="K8" s="7" t="inlineStr">
        <is>
          <t>2</t>
        </is>
      </c>
      <c r="L8" s="7" t="inlineStr">
        <is>
          <t>M3</t>
        </is>
      </c>
      <c r="M8" s="7" t="inlineStr">
        <is>
          <t>Enlace entre o gateway e a nuvem na propriedade da prova de conceito, em área rural com sinal fraco; a antena externa viabiliza a entrega de dados ≥ 95%. Vinculado ao objetivo específico 2; aquisição no mês 3 (1ª parcela).</t>
        </is>
      </c>
    </row>
    <row r="9">
      <c r="A9" s="7" t="inlineStr">
        <is>
          <t>C8</t>
        </is>
      </c>
      <c r="B9" s="7" t="inlineStr">
        <is>
          <t>Subvenção</t>
        </is>
      </c>
      <c r="C9" s="7" t="inlineStr">
        <is>
          <t>Capital</t>
        </is>
      </c>
      <c r="D9" s="7" t="inlineStr">
        <is>
          <t>1ª</t>
        </is>
      </c>
      <c r="E9" s="7" t="inlineStr">
        <is>
          <t>CAPITAL: Aquisição de máquinas, equipamentos, aparelhos e utensílios</t>
        </is>
      </c>
      <c r="F9" s="7" t="inlineStr">
        <is>
          <t>Registrador de temperatura de referência — bancada e prova de conceito</t>
        </is>
      </c>
      <c r="G9" s="7" t="inlineStr">
        <is>
          <t>registrador autônomo de temperatura com sonda externa, faixa −40 a +85 °C, resolução 0,1 °C, memória ≥ 16.000 leituras, USB, com certificado de calibração.</t>
        </is>
      </c>
      <c r="H9" s="7" t="n">
        <v>2</v>
      </c>
      <c r="I9" s="8" t="n">
        <v>450</v>
      </c>
      <c r="J9" s="8">
        <f>H9*I9</f>
        <v/>
      </c>
      <c r="K9" s="7" t="inlineStr">
        <is>
          <t>2</t>
        </is>
      </c>
      <c r="L9" s="7" t="inlineStr">
        <is>
          <t>M3</t>
        </is>
      </c>
      <c r="M9" s="7" t="inlineStr">
        <is>
          <t>Medição independente em paralelo aos protótipos, na bancada e no tanque, para comprovar o desvio ≤ 0,5 °C. Sem a segunda medição o teste afirma que o sensor funciona; com ela, demonstra. Vinculado ao objetivo específico 2; aquisição no mês 3 (1ª parcela).</t>
        </is>
      </c>
    </row>
    <row r="10">
      <c r="A10" s="7" t="inlineStr">
        <is>
          <t>C9</t>
        </is>
      </c>
      <c r="B10" s="7" t="inlineStr">
        <is>
          <t>Subvenção</t>
        </is>
      </c>
      <c r="C10" s="7" t="inlineStr">
        <is>
          <t>Capital</t>
        </is>
      </c>
      <c r="D10" s="7" t="inlineStr">
        <is>
          <t>2ª</t>
        </is>
      </c>
      <c r="E10" s="7" t="inlineStr">
        <is>
          <t>CAPITAL: Aquisição de máquinas, equipamentos, aparelhos e utensílios</t>
        </is>
      </c>
      <c r="F10" s="7" t="inlineStr">
        <is>
          <t>Computadores de borda (gateways) — piloto</t>
        </is>
      </c>
      <c r="G10" s="7" t="inlineStr">
        <is>
          <t>computador de placa única 64 bits, 4 núcleos, 8 GB de RAM, com gabinete com dissipação ativa, fonte de 27 W e cartão de memória industrial de 32 GB.</t>
        </is>
      </c>
      <c r="H10" s="7" t="n">
        <v>4</v>
      </c>
      <c r="I10" s="8" t="n">
        <v>1100</v>
      </c>
      <c r="J10" s="8">
        <f>H10*I10</f>
        <v/>
      </c>
      <c r="K10" s="7" t="inlineStr">
        <is>
          <t>4</t>
        </is>
      </c>
      <c r="L10" s="7" t="inlineStr">
        <is>
          <t>M7</t>
        </is>
      </c>
      <c r="M10" s="7" t="inlineStr">
        <is>
          <t>Um para cada uma das outras 4 propriedades do piloto, com a mesma função do gateway da prova de conceito. Vinculado ao objetivo específico 4; aquisição no mês 7 (2ª parcela).</t>
        </is>
      </c>
    </row>
    <row r="11">
      <c r="A11" s="7" t="inlineStr">
        <is>
          <t>C10</t>
        </is>
      </c>
      <c r="B11" s="7" t="inlineStr">
        <is>
          <t>Subvenção</t>
        </is>
      </c>
      <c r="C11" s="7" t="inlineStr">
        <is>
          <t>Capital</t>
        </is>
      </c>
      <c r="D11" s="7" t="inlineStr">
        <is>
          <t>2ª</t>
        </is>
      </c>
      <c r="E11" s="7" t="inlineStr">
        <is>
          <t>CAPITAL: Aquisição de máquinas, equipamentos, aparelhos e utensílios</t>
        </is>
      </c>
      <c r="F11" s="7" t="inlineStr">
        <is>
          <t>Roteadores 4G com antena externa — piloto</t>
        </is>
      </c>
      <c r="G11" s="7" t="inlineStr">
        <is>
          <t>roteador LTE categoria 4 com slot para chip, Wi-Fi e porta Ethernet, com antena externa de 9 dBi, cabo de 5 m e suporte de mastro.</t>
        </is>
      </c>
      <c r="H11" s="7" t="n">
        <v>4</v>
      </c>
      <c r="I11" s="8" t="n">
        <v>750</v>
      </c>
      <c r="J11" s="8">
        <f>H11*I11</f>
        <v/>
      </c>
      <c r="K11" s="7" t="inlineStr">
        <is>
          <t>4</t>
        </is>
      </c>
      <c r="L11" s="7" t="inlineStr">
        <is>
          <t>M7</t>
        </is>
      </c>
      <c r="M11" s="7" t="inlineStr">
        <is>
          <t>Um para cada uma das outras 4 propriedades do piloto, condição para a disponibilidade de dados ≥ 95% exigida no piloto. Vinculado ao objetivo específico 4; aquisição no mês 7 (2ª parcela).</t>
        </is>
      </c>
    </row>
    <row r="12">
      <c r="A12" s="7" t="inlineStr">
        <is>
          <t>C11</t>
        </is>
      </c>
      <c r="B12" s="7" t="inlineStr">
        <is>
          <t>Subvenção</t>
        </is>
      </c>
      <c r="C12" s="7" t="inlineStr">
        <is>
          <t>Capital</t>
        </is>
      </c>
      <c r="D12" s="7" t="inlineStr">
        <is>
          <t>2ª</t>
        </is>
      </c>
      <c r="E12" s="7" t="inlineStr">
        <is>
          <t>CAPITAL: Aquisição de máquinas, equipamentos, aparelhos e utensílios</t>
        </is>
      </c>
      <c r="F12" s="7" t="inlineStr">
        <is>
          <t>Registradores de temperatura de referência — piloto</t>
        </is>
      </c>
      <c r="G12" s="7" t="inlineStr">
        <is>
          <t>registrador autônomo de temperatura com sonda externa, faixa −40 a +85 °C, resolução 0,1 °C, memória ≥ 16.000 leituras, USB, com certificado de calibração.</t>
        </is>
      </c>
      <c r="H12" s="7" t="n">
        <v>4</v>
      </c>
      <c r="I12" s="8" t="n">
        <v>450</v>
      </c>
      <c r="J12" s="8">
        <f>H12*I12</f>
        <v/>
      </c>
      <c r="K12" s="7" t="inlineStr">
        <is>
          <t>4 e 5</t>
        </is>
      </c>
      <c r="L12" s="7" t="inlineStr">
        <is>
          <t>M7</t>
        </is>
      </c>
      <c r="M12" s="7" t="inlineStr">
        <is>
          <t>Medição independente nos tanques das demais propriedades, para conferir a temperatura do leite durante todo o piloto. Vinculado aos objetivos específicos 4 e 5; aquisição no mês 7 (2ª parcela).</t>
        </is>
      </c>
    </row>
    <row r="13">
      <c r="A13" s="7" t="inlineStr">
        <is>
          <t>K1</t>
        </is>
      </c>
      <c r="B13" s="7" t="inlineStr">
        <is>
          <t>Subvenção</t>
        </is>
      </c>
      <c r="C13" s="7" t="inlineStr">
        <is>
          <t>Custeio</t>
        </is>
      </c>
      <c r="D13" s="7" t="inlineStr">
        <is>
          <t>1ª</t>
        </is>
      </c>
      <c r="E13" s="7" t="inlineStr">
        <is>
          <t>CUSTEIO: Serviços de terceiros de pessoa física e/ou jurídica de caráter eventual</t>
        </is>
      </c>
      <c r="F13" s="7" t="inlineStr">
        <is>
          <t>Hospedagem em nuvem da plataforma — meses 1 a 6</t>
        </is>
      </c>
      <c r="G13" s="7" t="inlineStr">
        <is>
          <t>Servidor de aplicação, banco de dados gerenciado, broker MQTT e backup diário (6 meses × R$ 300,00).</t>
        </is>
      </c>
      <c r="H13" s="7" t="n">
        <v>6</v>
      </c>
      <c r="I13" s="8" t="n">
        <v>300</v>
      </c>
      <c r="J13" s="8">
        <f>H13*I13</f>
        <v/>
      </c>
      <c r="K13" s="7" t="inlineStr">
        <is>
          <t>2 e 3</t>
        </is>
      </c>
      <c r="L13" s="7" t="inlineStr">
        <is>
          <t>M1, M2, M3, M4, M5, M6</t>
        </is>
      </c>
      <c r="M13" s="7" t="inlineStr">
        <is>
          <t>Infraestrutura que recebe a telemetria dos protótipos, executa o motor de risco e hospeda o ambiente de desenvolvimento do Módulo de Saúde do Rebanho. Vinculado aos objetivos específicos 2 e 3; aquisição nos meses 1 a 6 (1ª parcela).</t>
        </is>
      </c>
    </row>
    <row r="14">
      <c r="A14" s="7" t="inlineStr">
        <is>
          <t>K2</t>
        </is>
      </c>
      <c r="B14" s="7" t="inlineStr">
        <is>
          <t>Subvenção</t>
        </is>
      </c>
      <c r="C14" s="7" t="inlineStr">
        <is>
          <t>Custeio</t>
        </is>
      </c>
      <c r="D14" s="7" t="inlineStr">
        <is>
          <t>1ª</t>
        </is>
      </c>
      <c r="E14" s="7" t="inlineStr">
        <is>
          <t>CUSTEIO: Aquisição de material de consumo</t>
        </is>
      </c>
      <c r="F14" s="7" t="inlineStr">
        <is>
          <t>Combustível para deslocamentos — meses 1 a 6</t>
        </is>
      </c>
      <c r="G14" s="7" t="inlineStr">
        <is>
          <t>Gasolina comum: 240 L × R$ 6,30 (visitas de seleção, instalação da prova de conceito e coleta da linha de base).</t>
        </is>
      </c>
      <c r="H14" s="7" t="n">
        <v>240</v>
      </c>
      <c r="I14" s="8" t="n">
        <v>6.3</v>
      </c>
      <c r="J14" s="8">
        <f>H14*I14</f>
        <v/>
      </c>
      <c r="K14" s="7" t="inlineStr">
        <is>
          <t>1, 2 e 5</t>
        </is>
      </c>
      <c r="L14" s="7" t="inlineStr">
        <is>
          <t>M1, M2, M4, M6</t>
        </is>
      </c>
      <c r="M14" s="7" t="inlineStr">
        <is>
          <t>Visitas de seleção das propriedades e entrevistas (meses 1 e 2), instalação da prova de conceito (mês 4) e coleta da linha de base laboratorial (mês 6). Vinculado aos objetivos específicos 1, 2 e 5; aquisição nos meses 1, 2, 4 e 6 (1ª parcela).</t>
        </is>
      </c>
    </row>
    <row r="15">
      <c r="A15" s="7" t="inlineStr">
        <is>
          <t>K3</t>
        </is>
      </c>
      <c r="B15" s="7" t="inlineStr">
        <is>
          <t>Subvenção</t>
        </is>
      </c>
      <c r="C15" s="7" t="inlineStr">
        <is>
          <t>Custeio</t>
        </is>
      </c>
      <c r="D15" s="7" t="inlineStr">
        <is>
          <t>1ª</t>
        </is>
      </c>
      <c r="E15" s="7" t="inlineStr">
        <is>
          <t>CUSTEIO: Aquisição de material de consumo</t>
        </is>
      </c>
      <c r="F15" s="7" t="inlineStr">
        <is>
          <t>Componentes eletrônicos dos nós de tanque — protótipos</t>
        </is>
      </c>
      <c r="G15" s="7" t="inlineStr">
        <is>
          <t>Por kit: sonda de temperatura resistiva classe A com 3 fios e cabo de 3 m; conversor de sinal de 15 bits; microcontrolador 32 bits dual-core com Wi-Fi e BLE; sensor digital de temperatura e umidade ±0,3 °C; sensor ultrassônico de nível à prova d'água; sensor de corrente não invasivo 100 A com condicionador; 2 células de lítio com módulo de carga; fonte 5 V/3 A.</t>
        </is>
      </c>
      <c r="H15" s="7" t="n">
        <v>2</v>
      </c>
      <c r="I15" s="8" t="n">
        <v>950</v>
      </c>
      <c r="J15" s="8">
        <f>H15*I15</f>
        <v/>
      </c>
      <c r="K15" s="7" t="inlineStr">
        <is>
          <t>2</t>
        </is>
      </c>
      <c r="L15" s="7" t="inlineStr">
        <is>
          <t>M2</t>
        </is>
      </c>
      <c r="M15" s="7" t="inlineStr">
        <is>
          <t>Composição dos 2 protótipos (bancada e prova de conceito), que medem temperatura do leite, nível e funcionamento do compressor, base do alerta de resfriamento. Vinculado ao objetivo específico 2; aquisição no mês 2 (1ª parcela).</t>
        </is>
      </c>
    </row>
    <row r="16">
      <c r="A16" s="7" t="inlineStr">
        <is>
          <t>K4</t>
        </is>
      </c>
      <c r="B16" s="7" t="inlineStr">
        <is>
          <t>Subvenção</t>
        </is>
      </c>
      <c r="C16" s="7" t="inlineStr">
        <is>
          <t>Custeio</t>
        </is>
      </c>
      <c r="D16" s="7" t="inlineStr">
        <is>
          <t>1ª</t>
        </is>
      </c>
      <c r="E16" s="7" t="inlineStr">
        <is>
          <t>CUSTEIO: Aquisição de material de consumo</t>
        </is>
      </c>
      <c r="F16" s="7" t="inlineStr">
        <is>
          <t>Componentes da microestação de THI — protótipo</t>
        </is>
      </c>
      <c r="G16" s="7" t="inlineStr">
        <is>
          <t>Por unidade: sensor digital de temperatura e umidade ±0,3 °C; microcontrolador 32 bits com Wi-Fi; célula de lítio com módulo de carga; painel solar 6 V/2 W.</t>
        </is>
      </c>
      <c r="H16" s="7" t="n">
        <v>1</v>
      </c>
      <c r="I16" s="8" t="n">
        <v>300</v>
      </c>
      <c r="J16" s="8">
        <f>H16*I16</f>
        <v/>
      </c>
      <c r="K16" s="7" t="inlineStr">
        <is>
          <t>2</t>
        </is>
      </c>
      <c r="L16" s="7" t="inlineStr">
        <is>
          <t>M2</t>
        </is>
      </c>
      <c r="M16" s="7" t="inlineStr">
        <is>
          <t>Protótipo da microestação que mede o THI local para o alerta de estresse térmico. Vinculado ao objetivo específico 2; aquisição no mês 2 (1ª parcela).</t>
        </is>
      </c>
    </row>
    <row r="17">
      <c r="A17" s="7" t="inlineStr">
        <is>
          <t>K5</t>
        </is>
      </c>
      <c r="B17" s="7" t="inlineStr">
        <is>
          <t>Subvenção</t>
        </is>
      </c>
      <c r="C17" s="7" t="inlineStr">
        <is>
          <t>Custeio</t>
        </is>
      </c>
      <c r="D17" s="7" t="inlineStr">
        <is>
          <t>1ª</t>
        </is>
      </c>
      <c r="E17" s="7" t="inlineStr">
        <is>
          <t>CUSTEIO: Aquisição de material de consumo</t>
        </is>
      </c>
      <c r="F17" s="7" t="inlineStr">
        <is>
          <t>Filamento para impressão 3D (PETG e ASA)</t>
        </is>
      </c>
      <c r="G17" s="7" t="inlineStr">
        <is>
          <t>Carretel de 1 kg, 1,75 mm: 6 de PETG e 6 de ASA resistente a UV.</t>
        </is>
      </c>
      <c r="H17" s="7" t="n">
        <v>12</v>
      </c>
      <c r="I17" s="8" t="n">
        <v>125</v>
      </c>
      <c r="J17" s="8">
        <f>H17*I17</f>
        <v/>
      </c>
      <c r="K17" s="7" t="inlineStr">
        <is>
          <t>2 e 4</t>
        </is>
      </c>
      <c r="L17" s="7" t="inlineStr">
        <is>
          <t>M2, M3</t>
        </is>
      </c>
      <c r="M17" s="7" t="inlineStr">
        <is>
          <t>Matéria-prima dos gabinetes, suportes e abrigos de radiação de todos os kits, incluindo as iterações de desenho dos protótipos. Vinculado aos objetivos específicos 2 e 4; aquisição nos meses 2 a 3 (1ª parcela).</t>
        </is>
      </c>
    </row>
    <row r="18">
      <c r="A18" s="7" t="inlineStr">
        <is>
          <t>K6</t>
        </is>
      </c>
      <c r="B18" s="7" t="inlineStr">
        <is>
          <t>Subvenção</t>
        </is>
      </c>
      <c r="C18" s="7" t="inlineStr">
        <is>
          <t>Custeio</t>
        </is>
      </c>
      <c r="D18" s="7" t="inlineStr">
        <is>
          <t>1ª</t>
        </is>
      </c>
      <c r="E18" s="7" t="inlineStr">
        <is>
          <t>CUSTEIO: Aquisição de material de consumo</t>
        </is>
      </c>
      <c r="F18" s="7" t="inlineStr">
        <is>
          <t>Consumíveis de prototipagem eletrônica</t>
        </is>
      </c>
      <c r="G18" s="7" t="inlineStr">
        <is>
          <t>Placas perfuradas, estanho 1 mm, tubo termorretrátil, conectores, barras de pinos, jumpers, resistores e capacitores sortidos (1 lote).</t>
        </is>
      </c>
      <c r="H18" s="7" t="n">
        <v>1</v>
      </c>
      <c r="I18" s="8" t="n">
        <v>688</v>
      </c>
      <c r="J18" s="8">
        <f>H18*I18</f>
        <v/>
      </c>
      <c r="K18" s="7" t="inlineStr">
        <is>
          <t>2</t>
        </is>
      </c>
      <c r="L18" s="7" t="inlineStr">
        <is>
          <t>M2</t>
        </is>
      </c>
      <c r="M18" s="7" t="inlineStr">
        <is>
          <t>Montagem dos protótipos e das unidades de campo na bancada. Vinculado ao objetivo específico 2; aquisição no mês 2 (1ª parcela).</t>
        </is>
      </c>
    </row>
    <row r="19">
      <c r="A19" s="7" t="inlineStr">
        <is>
          <t>K7</t>
        </is>
      </c>
      <c r="B19" s="7" t="inlineStr">
        <is>
          <t>Subvenção</t>
        </is>
      </c>
      <c r="C19" s="7" t="inlineStr">
        <is>
          <t>Custeio</t>
        </is>
      </c>
      <c r="D19" s="7" t="inlineStr">
        <is>
          <t>1ª</t>
        </is>
      </c>
      <c r="E19" s="7" t="inlineStr">
        <is>
          <t>CUSTEIO: Aquisição de material de consumo</t>
        </is>
      </c>
      <c r="F19" s="7" t="inlineStr">
        <is>
          <t>Material de instalação sanitária dos nós de tanque — protótipos</t>
        </is>
      </c>
      <c r="G19" s="7" t="inlineStr">
        <is>
          <t>Por kit: poço termométrico em inox 304 rosca 1/2"; caixa hermética IP65 200 × 150 × 80 mm; 4 prensa-cabos; 10 m de cabo blindado 2 × 0,5 mm²; terminais e fixadores inox.</t>
        </is>
      </c>
      <c r="H19" s="7" t="n">
        <v>2</v>
      </c>
      <c r="I19" s="8" t="n">
        <v>400</v>
      </c>
      <c r="J19" s="8">
        <f>H19*I19</f>
        <v/>
      </c>
      <c r="K19" s="7" t="inlineStr">
        <is>
          <t>2</t>
        </is>
      </c>
      <c r="L19" s="7" t="inlineStr">
        <is>
          <t>M3</t>
        </is>
      </c>
      <c r="M19" s="7" t="inlineStr">
        <is>
          <t>O poço de inox mantém a sonda sem contato com o leite, preservando a conformidade higiênico-sanitária (IN 76/77) e a rotina de limpeza do tanque. Vinculado ao objetivo específico 2; aquisição no mês 3 (1ª parcela).</t>
        </is>
      </c>
    </row>
    <row r="20">
      <c r="A20" s="7" t="inlineStr">
        <is>
          <t>K8</t>
        </is>
      </c>
      <c r="B20" s="7" t="inlineStr">
        <is>
          <t>Subvenção</t>
        </is>
      </c>
      <c r="C20" s="7" t="inlineStr">
        <is>
          <t>Custeio</t>
        </is>
      </c>
      <c r="D20" s="7" t="inlineStr">
        <is>
          <t>1ª</t>
        </is>
      </c>
      <c r="E20" s="7" t="inlineStr">
        <is>
          <t>CUSTEIO: Serviços de terceiros de pessoa física e/ou jurídica de caráter eventual</t>
        </is>
      </c>
      <c r="F20" s="7" t="inlineStr">
        <is>
          <t>Calibração rastreável (RBC) das sondas dos protótipos</t>
        </is>
      </c>
      <c r="G20" s="7" t="inlineStr">
        <is>
          <t>Calibração em 3 pontos (0, 4 e 10 °C) com certificado RBC (2 sondas).</t>
        </is>
      </c>
      <c r="H20" s="7" t="n">
        <v>2</v>
      </c>
      <c r="I20" s="8" t="n">
        <v>200</v>
      </c>
      <c r="J20" s="8">
        <f>H20*I20</f>
        <v/>
      </c>
      <c r="K20" s="7" t="inlineStr">
        <is>
          <t>2</t>
        </is>
      </c>
      <c r="L20" s="7" t="inlineStr">
        <is>
          <t>M4</t>
        </is>
      </c>
      <c r="M20" s="7" t="inlineStr">
        <is>
          <t>Garante valor de prova à medição de temperatura do leite na faixa crítica da IN 76/77 (≤ 4 °C) e sustenta o critério de desvio ≤ 0,5 °C. Vinculado ao objetivo específico 2; aquisição no mês 4 (1ª parcela).</t>
        </is>
      </c>
    </row>
    <row r="21">
      <c r="A21" s="7" t="inlineStr">
        <is>
          <t>K9</t>
        </is>
      </c>
      <c r="B21" s="7" t="inlineStr">
        <is>
          <t>Subvenção</t>
        </is>
      </c>
      <c r="C21" s="7" t="inlineStr">
        <is>
          <t>Custeio</t>
        </is>
      </c>
      <c r="D21" s="7" t="inlineStr">
        <is>
          <t>1ª</t>
        </is>
      </c>
      <c r="E21" s="7" t="inlineStr">
        <is>
          <t>CUSTEIO: Serviços de terceiros de pessoa física e/ou jurídica de caráter eventual</t>
        </is>
      </c>
      <c r="F21" s="7" t="inlineStr">
        <is>
          <t>Serviço de mensageria (API de mensagens) — meses 5 e 6</t>
        </is>
      </c>
      <c r="G21" s="7" t="inlineStr">
        <is>
          <t>Plano empresarial de API de mensagens para notificações (2 meses × R$ 150,00).</t>
        </is>
      </c>
      <c r="H21" s="7" t="n">
        <v>2</v>
      </c>
      <c r="I21" s="8" t="n">
        <v>150</v>
      </c>
      <c r="J21" s="8">
        <f>H21*I21</f>
        <v/>
      </c>
      <c r="K21" s="7" t="inlineStr">
        <is>
          <t>3</t>
        </is>
      </c>
      <c r="L21" s="7" t="inlineStr">
        <is>
          <t>M5, M6</t>
        </is>
      </c>
      <c r="M21" s="7" t="inlineStr">
        <is>
          <t>Envio dos alertas no aplicativo de mensagens que o produtor já usa, testado com produtores antes do piloto. Vinculado ao objetivo específico 3; aquisição nos meses 5 a 6 (1ª parcela).</t>
        </is>
      </c>
    </row>
    <row r="22">
      <c r="A22" s="7" t="inlineStr">
        <is>
          <t>K10</t>
        </is>
      </c>
      <c r="B22" s="7" t="inlineStr">
        <is>
          <t>Subvenção</t>
        </is>
      </c>
      <c r="C22" s="7" t="inlineStr">
        <is>
          <t>Custeio</t>
        </is>
      </c>
      <c r="D22" s="7" t="inlineStr">
        <is>
          <t>1ª</t>
        </is>
      </c>
      <c r="E22" s="7" t="inlineStr">
        <is>
          <t>CUSTEIO: Aquisição de material de consumo</t>
        </is>
      </c>
      <c r="F22" s="7" t="inlineStr">
        <is>
          <t>Reagente para California Mastitis Test (CMT) — linha de base</t>
        </is>
      </c>
      <c r="G22" s="7" t="inlineStr">
        <is>
          <t>Frasco de 1 L de reagente para CMT.</t>
        </is>
      </c>
      <c r="H22" s="7" t="n">
        <v>6</v>
      </c>
      <c r="I22" s="8" t="n">
        <v>55</v>
      </c>
      <c r="J22" s="8">
        <f>H22*I22</f>
        <v/>
      </c>
      <c r="K22" s="7" t="inlineStr">
        <is>
          <t>5</t>
        </is>
      </c>
      <c r="L22" s="7" t="inlineStr">
        <is>
          <t>M6</t>
        </is>
      </c>
      <c r="M22" s="7" t="inlineStr">
        <is>
          <t>Teste de campo por quarto mamário para a linha de base sanitária das vacas em lactação e primeiras rodadas do piloto. Vinculado ao objetivo específico 5; aquisição no mês 6 (1ª parcela).</t>
        </is>
      </c>
    </row>
    <row r="23">
      <c r="A23" s="7" t="inlineStr">
        <is>
          <t>K11</t>
        </is>
      </c>
      <c r="B23" s="7" t="inlineStr">
        <is>
          <t>Subvenção</t>
        </is>
      </c>
      <c r="C23" s="7" t="inlineStr">
        <is>
          <t>Custeio</t>
        </is>
      </c>
      <c r="D23" s="7" t="inlineStr">
        <is>
          <t>1ª</t>
        </is>
      </c>
      <c r="E23" s="7" t="inlineStr">
        <is>
          <t>CUSTEIO: Aquisição de material de consumo</t>
        </is>
      </c>
      <c r="F23" s="7" t="inlineStr">
        <is>
          <t>Raquete (bandeja) para CMT</t>
        </is>
      </c>
      <c r="G23" s="7" t="inlineStr">
        <is>
          <t>Bandeja com 4 compartimentos, em plástico lavável.</t>
        </is>
      </c>
      <c r="H23" s="7" t="n">
        <v>6</v>
      </c>
      <c r="I23" s="8" t="n">
        <v>45</v>
      </c>
      <c r="J23" s="8">
        <f>H23*I23</f>
        <v/>
      </c>
      <c r="K23" s="7" t="inlineStr">
        <is>
          <t>5</t>
        </is>
      </c>
      <c r="L23" s="7" t="inlineStr">
        <is>
          <t>M6</t>
        </is>
      </c>
      <c r="M23" s="7" t="inlineStr">
        <is>
          <t>Uma por propriedade e uma com a veterinária, para a execução do CMT. Vinculado ao objetivo específico 5; aquisição no mês 6 (1ª parcela).</t>
        </is>
      </c>
    </row>
    <row r="24">
      <c r="A24" s="7" t="inlineStr">
        <is>
          <t>K12</t>
        </is>
      </c>
      <c r="B24" s="7" t="inlineStr">
        <is>
          <t>Subvenção</t>
        </is>
      </c>
      <c r="C24" s="7" t="inlineStr">
        <is>
          <t>Custeio</t>
        </is>
      </c>
      <c r="D24" s="7" t="inlineStr">
        <is>
          <t>1ª</t>
        </is>
      </c>
      <c r="E24" s="7" t="inlineStr">
        <is>
          <t>CUSTEIO: Aquisição de material de consumo</t>
        </is>
      </c>
      <c r="F24" s="7" t="inlineStr">
        <is>
          <t>Caixa térmica para transporte de amostras de leite</t>
        </is>
      </c>
      <c r="G24" s="7" t="inlineStr">
        <is>
          <t>Caixa térmica de 12 L com gelo reciclável.</t>
        </is>
      </c>
      <c r="H24" s="7" t="n">
        <v>3</v>
      </c>
      <c r="I24" s="8" t="n">
        <v>150</v>
      </c>
      <c r="J24" s="8">
        <f>H24*I24</f>
        <v/>
      </c>
      <c r="K24" s="7" t="inlineStr">
        <is>
          <t>5</t>
        </is>
      </c>
      <c r="L24" s="7" t="inlineStr">
        <is>
          <t>M6</t>
        </is>
      </c>
      <c r="M24" s="7" t="inlineStr">
        <is>
          <t>Transporte refrigerado das amostras até o laboratório credenciado, condição para a validade das análises de CCS e CBT. Vinculado ao objetivo específico 5; aquisição no mês 6 (1ª parcela).</t>
        </is>
      </c>
    </row>
    <row r="25">
      <c r="A25" s="7" t="inlineStr">
        <is>
          <t>K13</t>
        </is>
      </c>
      <c r="B25" s="7" t="inlineStr">
        <is>
          <t>Subvenção</t>
        </is>
      </c>
      <c r="C25" s="7" t="inlineStr">
        <is>
          <t>Custeio</t>
        </is>
      </c>
      <c r="D25" s="7" t="inlineStr">
        <is>
          <t>1ª</t>
        </is>
      </c>
      <c r="E25" s="7" t="inlineStr">
        <is>
          <t>CUSTEIO: Serviços de terceiros de pessoa física e/ou jurídica de caráter eventual</t>
        </is>
      </c>
      <c r="F25" s="7" t="inlineStr">
        <is>
          <t>Análises laboratoriais de CCS — linha de base</t>
        </is>
      </c>
      <c r="G25" s="7" t="inlineStr">
        <is>
          <t>Contagem de células somáticas individual por vaca em laboratório credenciado à RBQL, incluindo frascos com conservante (100 análises).</t>
        </is>
      </c>
      <c r="H25" s="7" t="n">
        <v>100</v>
      </c>
      <c r="I25" s="8" t="n">
        <v>12</v>
      </c>
      <c r="J25" s="8">
        <f>H25*I25</f>
        <v/>
      </c>
      <c r="K25" s="7" t="inlineStr">
        <is>
          <t>5</t>
        </is>
      </c>
      <c r="L25" s="7" t="inlineStr">
        <is>
          <t>M6</t>
        </is>
      </c>
      <c r="M25" s="7" t="inlineStr">
        <is>
          <t>Linha de base individual das vacas antes do início do piloto, referência para medir a antecedência dos alertas e a variação da CCS. Vinculado ao objetivo específico 5; aquisição no mês 6 (1ª parcela).</t>
        </is>
      </c>
    </row>
    <row r="26">
      <c r="A26" s="7" t="inlineStr">
        <is>
          <t>K14</t>
        </is>
      </c>
      <c r="B26" s="7" t="inlineStr">
        <is>
          <t>Subvenção</t>
        </is>
      </c>
      <c r="C26" s="7" t="inlineStr">
        <is>
          <t>Custeio</t>
        </is>
      </c>
      <c r="D26" s="7" t="inlineStr">
        <is>
          <t>2ª</t>
        </is>
      </c>
      <c r="E26" s="7" t="inlineStr">
        <is>
          <t>CUSTEIO: Aquisição de material de consumo</t>
        </is>
      </c>
      <c r="F26" s="7" t="inlineStr">
        <is>
          <t>Componentes eletrônicos dos nós de tanque — piloto</t>
        </is>
      </c>
      <c r="G26" s="7" t="inlineStr">
        <is>
          <t>Por kit: sonda de temperatura resistiva classe A com 3 fios e cabo de 3 m; conversor de sinal de 15 bits; microcontrolador 32 bits dual-core com Wi-Fi e BLE; sensor digital de temperatura e umidade ±0,3 °C; sensor ultrassônico de nível à prova d'água; sensor de corrente não invasivo 100 A com condicionador; 2 células de lítio com módulo de carga; fonte 5 V/3 A.</t>
        </is>
      </c>
      <c r="H26" s="7" t="n">
        <v>4</v>
      </c>
      <c r="I26" s="8" t="n">
        <v>950</v>
      </c>
      <c r="J26" s="8">
        <f>H26*I26</f>
        <v/>
      </c>
      <c r="K26" s="7" t="inlineStr">
        <is>
          <t>4</t>
        </is>
      </c>
      <c r="L26" s="7" t="inlineStr">
        <is>
          <t>M7</t>
        </is>
      </c>
      <c r="M26" s="7" t="inlineStr">
        <is>
          <t>Replicação para as outras 4 propriedades do piloto; o protótipo da bancada passa a ser o nó reserva para substituição imediata. Vinculado ao objetivo específico 4; aquisição no mês 7 (2ª parcela).</t>
        </is>
      </c>
    </row>
    <row r="27">
      <c r="A27" s="7" t="inlineStr">
        <is>
          <t>K15</t>
        </is>
      </c>
      <c r="B27" s="7" t="inlineStr">
        <is>
          <t>Subvenção</t>
        </is>
      </c>
      <c r="C27" s="7" t="inlineStr">
        <is>
          <t>Custeio</t>
        </is>
      </c>
      <c r="D27" s="7" t="inlineStr">
        <is>
          <t>2ª</t>
        </is>
      </c>
      <c r="E27" s="7" t="inlineStr">
        <is>
          <t>CUSTEIO: Aquisição de material de consumo</t>
        </is>
      </c>
      <c r="F27" s="7" t="inlineStr">
        <is>
          <t>Material de instalação sanitária dos nós de tanque — piloto</t>
        </is>
      </c>
      <c r="G27" s="7" t="inlineStr">
        <is>
          <t>Por kit: poço termométrico em inox 304 rosca 1/2"; caixa hermética IP65 200 × 150 × 80 mm; 4 prensa-cabos; 10 m de cabo blindado 2 × 0,5 mm²; terminais e fixadores inox.</t>
        </is>
      </c>
      <c r="H27" s="7" t="n">
        <v>4</v>
      </c>
      <c r="I27" s="8" t="n">
        <v>400</v>
      </c>
      <c r="J27" s="8">
        <f>H27*I27</f>
        <v/>
      </c>
      <c r="K27" s="7" t="inlineStr">
        <is>
          <t>4</t>
        </is>
      </c>
      <c r="L27" s="7" t="inlineStr">
        <is>
          <t>M7</t>
        </is>
      </c>
      <c r="M27" s="7" t="inlineStr">
        <is>
          <t>Instalação sanitariamente segura nas 4 propriedades adicionais. Vinculado ao objetivo específico 4; aquisição no mês 7 (2ª parcela).</t>
        </is>
      </c>
    </row>
    <row r="28">
      <c r="A28" s="7" t="inlineStr">
        <is>
          <t>K16</t>
        </is>
      </c>
      <c r="B28" s="7" t="inlineStr">
        <is>
          <t>Subvenção</t>
        </is>
      </c>
      <c r="C28" s="7" t="inlineStr">
        <is>
          <t>Custeio</t>
        </is>
      </c>
      <c r="D28" s="7" t="inlineStr">
        <is>
          <t>2ª</t>
        </is>
      </c>
      <c r="E28" s="7" t="inlineStr">
        <is>
          <t>CUSTEIO: Aquisição de material de consumo</t>
        </is>
      </c>
      <c r="F28" s="7" t="inlineStr">
        <is>
          <t>Componentes das microestações de THI — piloto</t>
        </is>
      </c>
      <c r="G28" s="7" t="inlineStr">
        <is>
          <t>Por unidade: sensor digital de temperatura e umidade ±0,3 °C; microcontrolador 32 bits com Wi-Fi; célula de lítio com módulo de carga; painel solar 6 V/2 W.</t>
        </is>
      </c>
      <c r="H28" s="7" t="n">
        <v>4</v>
      </c>
      <c r="I28" s="8" t="n">
        <v>300</v>
      </c>
      <c r="J28" s="8">
        <f>H28*I28</f>
        <v/>
      </c>
      <c r="K28" s="7" t="inlineStr">
        <is>
          <t>4</t>
        </is>
      </c>
      <c r="L28" s="7" t="inlineStr">
        <is>
          <t>M7</t>
        </is>
      </c>
      <c r="M28" s="7" t="inlineStr">
        <is>
          <t>Uma por propriedade adicional, para medir o THI local e compará-lo à estação INMET de referência. Vinculado ao objetivo específico 4; aquisição no mês 7 (2ª parcela).</t>
        </is>
      </c>
    </row>
    <row r="29">
      <c r="A29" s="7" t="inlineStr">
        <is>
          <t>K17</t>
        </is>
      </c>
      <c r="B29" s="7" t="inlineStr">
        <is>
          <t>Subvenção</t>
        </is>
      </c>
      <c r="C29" s="7" t="inlineStr">
        <is>
          <t>Custeio</t>
        </is>
      </c>
      <c r="D29" s="7" t="inlineStr">
        <is>
          <t>2ª</t>
        </is>
      </c>
      <c r="E29" s="7" t="inlineStr">
        <is>
          <t>CUSTEIO: Serviços de terceiros de pessoa física e/ou jurídica de caráter eventual</t>
        </is>
      </c>
      <c r="F29" s="7" t="inlineStr">
        <is>
          <t>Calibração rastreável (RBC) das sondas do piloto</t>
        </is>
      </c>
      <c r="G29" s="7" t="inlineStr">
        <is>
          <t>Calibração em 3 pontos (0, 4 e 10 °C) com certificado RBC (4 sondas).</t>
        </is>
      </c>
      <c r="H29" s="7" t="n">
        <v>4</v>
      </c>
      <c r="I29" s="8" t="n">
        <v>200</v>
      </c>
      <c r="J29" s="8">
        <f>H29*I29</f>
        <v/>
      </c>
      <c r="K29" s="7" t="inlineStr">
        <is>
          <t>4</t>
        </is>
      </c>
      <c r="L29" s="7" t="inlineStr">
        <is>
          <t>M7</t>
        </is>
      </c>
      <c r="M29" s="7" t="inlineStr">
        <is>
          <t>Mesma garantia metrológica dos protótipos para as sondas instaladas no piloto. Vinculado ao objetivo específico 4; aquisição no mês 7 (2ª parcela).</t>
        </is>
      </c>
    </row>
    <row r="30">
      <c r="A30" s="7" t="inlineStr">
        <is>
          <t>K18</t>
        </is>
      </c>
      <c r="B30" s="7" t="inlineStr">
        <is>
          <t>Subvenção</t>
        </is>
      </c>
      <c r="C30" s="7" t="inlineStr">
        <is>
          <t>Custeio</t>
        </is>
      </c>
      <c r="D30" s="7" t="inlineStr">
        <is>
          <t>2ª</t>
        </is>
      </c>
      <c r="E30" s="7" t="inlineStr">
        <is>
          <t>CUSTEIO: Aquisição de material de consumo</t>
        </is>
      </c>
      <c r="F30" s="7" t="inlineStr">
        <is>
          <t>Reagente para California Mastitis Test (CMT) — piloto</t>
        </is>
      </c>
      <c r="G30" s="7" t="inlineStr">
        <is>
          <t>Frasco de 1 L de reagente para CMT.</t>
        </is>
      </c>
      <c r="H30" s="7" t="n">
        <v>6</v>
      </c>
      <c r="I30" s="8" t="n">
        <v>55</v>
      </c>
      <c r="J30" s="8">
        <f>H30*I30</f>
        <v/>
      </c>
      <c r="K30" s="7" t="inlineStr">
        <is>
          <t>5</t>
        </is>
      </c>
      <c r="L30" s="7" t="inlineStr">
        <is>
          <t>M7</t>
        </is>
      </c>
      <c r="M30" s="7" t="inlineStr">
        <is>
          <t>CMT quinzenal por quarto mamário durante o piloto, referência veterinária para confirmar ou descartar cada alerta de CCS. Vinculado ao objetivo específico 5; aquisição no mês 7 (2ª parcela).</t>
        </is>
      </c>
    </row>
    <row r="31">
      <c r="A31" s="7" t="inlineStr">
        <is>
          <t>K19</t>
        </is>
      </c>
      <c r="B31" s="7" t="inlineStr">
        <is>
          <t>Subvenção</t>
        </is>
      </c>
      <c r="C31" s="7" t="inlineStr">
        <is>
          <t>Custeio</t>
        </is>
      </c>
      <c r="D31" s="7" t="inlineStr">
        <is>
          <t>2ª</t>
        </is>
      </c>
      <c r="E31" s="7" t="inlineStr">
        <is>
          <t>CUSTEIO: Serviços de terceiros de pessoa física e/ou jurídica de caráter eventual</t>
        </is>
      </c>
      <c r="F31" s="7" t="inlineStr">
        <is>
          <t>Cartilha impressa de resposta aos alertas</t>
        </is>
      </c>
      <c r="G31" s="7" t="inlineStr">
        <is>
          <t>12 páginas, colorida, formato A5, papel couchê — “Sinais de alerta: mastite, estresse térmico e conservação do leite”.</t>
        </is>
      </c>
      <c r="H31" s="7" t="n">
        <v>70</v>
      </c>
      <c r="I31" s="8" t="n">
        <v>17</v>
      </c>
      <c r="J31" s="8">
        <f>H31*I31</f>
        <v/>
      </c>
      <c r="K31" s="7" t="inlineStr">
        <is>
          <t>6</t>
        </is>
      </c>
      <c r="L31" s="7" t="inlineStr">
        <is>
          <t>M7</t>
        </is>
      </c>
      <c r="M31" s="7" t="inlineStr">
        <is>
          <t>Material das 5 oficinas de capacitação (25 produtores e ordenhadores e 5 técnicos) e distribuição a laticínios e cooperativas parceiras. Vinculado ao objetivo específico 6; aquisição no mês 7 (2ª parcela).</t>
        </is>
      </c>
    </row>
    <row r="32">
      <c r="A32" s="7" t="inlineStr">
        <is>
          <t>K20</t>
        </is>
      </c>
      <c r="B32" s="7" t="inlineStr">
        <is>
          <t>Subvenção</t>
        </is>
      </c>
      <c r="C32" s="7" t="inlineStr">
        <is>
          <t>Custeio</t>
        </is>
      </c>
      <c r="D32" s="7" t="inlineStr">
        <is>
          <t>2ª</t>
        </is>
      </c>
      <c r="E32" s="7" t="inlineStr">
        <is>
          <t>CUSTEIO: Serviços de terceiros de pessoa física e/ou jurídica de caráter eventual</t>
        </is>
      </c>
      <c r="F32" s="7" t="inlineStr">
        <is>
          <t>Análises laboratoriais de CCS e CBT — piloto</t>
        </is>
      </c>
      <c r="G32" s="7" t="inlineStr">
        <is>
          <t>CCS individual por vaca (mensal) e CCS/CBT de tanque (quinzenal) em laboratório credenciado à RBQL, incluindo frascos com conservante (450 análises).</t>
        </is>
      </c>
      <c r="H32" s="7" t="n">
        <v>450</v>
      </c>
      <c r="I32" s="8" t="n">
        <v>12</v>
      </c>
      <c r="J32" s="8">
        <f>H32*I32</f>
        <v/>
      </c>
      <c r="K32" s="7" t="inlineStr">
        <is>
          <t>5 e 7</t>
        </is>
      </c>
      <c r="L32" s="7" t="inlineStr">
        <is>
          <t>M7, M8, M9, M10</t>
        </is>
      </c>
      <c r="M32" s="7" t="inlineStr">
        <is>
          <t>Padrão-ouro para medir a sensibilidade e a precisão dos alertas e a redução da CCS de tanque; sem laudo laboratorial não há como comprovar os resultados. Vinculado aos objetivos específicos 5 e 7; aquisição nos meses 7 a 10 (2ª parcela).</t>
        </is>
      </c>
    </row>
    <row r="33">
      <c r="A33" s="7" t="inlineStr">
        <is>
          <t>K21</t>
        </is>
      </c>
      <c r="B33" s="7" t="inlineStr">
        <is>
          <t>Subvenção</t>
        </is>
      </c>
      <c r="C33" s="7" t="inlineStr">
        <is>
          <t>Custeio</t>
        </is>
      </c>
      <c r="D33" s="7" t="inlineStr">
        <is>
          <t>2ª</t>
        </is>
      </c>
      <c r="E33" s="7" t="inlineStr">
        <is>
          <t>CUSTEIO: Serviços de terceiros de pessoa física e/ou jurídica de caráter eventual</t>
        </is>
      </c>
      <c r="F33" s="7" t="inlineStr">
        <is>
          <t>Hospedagem em nuvem da plataforma — meses 7 a 12</t>
        </is>
      </c>
      <c r="G33" s="7" t="inlineStr">
        <is>
          <t>Servidor de aplicação, banco de dados gerenciado, broker MQTT e backup diário (6 meses × R$ 300,00).</t>
        </is>
      </c>
      <c r="H33" s="7" t="n">
        <v>6</v>
      </c>
      <c r="I33" s="8" t="n">
        <v>300</v>
      </c>
      <c r="J33" s="8">
        <f>H33*I33</f>
        <v/>
      </c>
      <c r="K33" s="7" t="inlineStr">
        <is>
          <t>4 e 5</t>
        </is>
      </c>
      <c r="L33" s="7" t="inlineStr">
        <is>
          <t>M7, M8, M9, M10, M11, M12</t>
        </is>
      </c>
      <c r="M33" s="7" t="inlineStr">
        <is>
          <t>Recebe a telemetria das 5 propriedades em tempo real e executa o motor de risco durante o piloto e a avaliação. Vinculado aos objetivos específicos 4 e 5; aquisição nos meses 7 a 12 (2ª parcela).</t>
        </is>
      </c>
    </row>
    <row r="34">
      <c r="A34" s="7" t="inlineStr">
        <is>
          <t>K22</t>
        </is>
      </c>
      <c r="B34" s="7" t="inlineStr">
        <is>
          <t>Subvenção</t>
        </is>
      </c>
      <c r="C34" s="7" t="inlineStr">
        <is>
          <t>Custeio</t>
        </is>
      </c>
      <c r="D34" s="7" t="inlineStr">
        <is>
          <t>2ª</t>
        </is>
      </c>
      <c r="E34" s="7" t="inlineStr">
        <is>
          <t>CUSTEIO: Serviços de terceiros de pessoa física e/ou jurídica de caráter eventual</t>
        </is>
      </c>
      <c r="F34" s="7" t="inlineStr">
        <is>
          <t>Serviço de mensageria (API de mensagens) — meses 7 a 12</t>
        </is>
      </c>
      <c r="G34" s="7" t="inlineStr">
        <is>
          <t>Plano empresarial de API de mensagens para notificações (6 meses × R$ 150,00).</t>
        </is>
      </c>
      <c r="H34" s="7" t="n">
        <v>6</v>
      </c>
      <c r="I34" s="8" t="n">
        <v>150</v>
      </c>
      <c r="J34" s="8">
        <f>H34*I34</f>
        <v/>
      </c>
      <c r="K34" s="7" t="inlineStr">
        <is>
          <t>4</t>
        </is>
      </c>
      <c r="L34" s="7" t="inlineStr">
        <is>
          <t>M7, M8, M9, M10, M11, M12</t>
        </is>
      </c>
      <c r="M34" s="7" t="inlineStr">
        <is>
          <t>Envio dos alertas aos produtores das 5 propriedades durante o piloto. Vinculado ao objetivo específico 4; aquisição nos meses 7 a 12 (2ª parcela).</t>
        </is>
      </c>
    </row>
    <row r="35">
      <c r="A35" s="7" t="inlineStr">
        <is>
          <t>K23</t>
        </is>
      </c>
      <c r="B35" s="7" t="inlineStr">
        <is>
          <t>Subvenção</t>
        </is>
      </c>
      <c r="C35" s="7" t="inlineStr">
        <is>
          <t>Custeio</t>
        </is>
      </c>
      <c r="D35" s="7" t="inlineStr">
        <is>
          <t>2ª</t>
        </is>
      </c>
      <c r="E35" s="7" t="inlineStr">
        <is>
          <t>CUSTEIO: Aquisição de material de consumo</t>
        </is>
      </c>
      <c r="F35" s="7" t="inlineStr">
        <is>
          <t>Combustível para deslocamentos — meses 7 a 12</t>
        </is>
      </c>
      <c r="G35" s="7" t="inlineStr">
        <is>
          <t>Gasolina comum: 600 L × R$ 6,30 (≈ 33 viagens de ≈ 180 km ida e volta).</t>
        </is>
      </c>
      <c r="H35" s="7" t="n">
        <v>600</v>
      </c>
      <c r="I35" s="8" t="n">
        <v>6.3</v>
      </c>
      <c r="J35" s="8">
        <f>H35*I35</f>
        <v/>
      </c>
      <c r="K35" s="7" t="inlineStr">
        <is>
          <t>4, 5 e 7</t>
        </is>
      </c>
      <c r="L35" s="7" t="inlineStr">
        <is>
          <t>M7, M8, M9, M10, M11, M12</t>
        </is>
      </c>
      <c r="M35" s="7" t="inlineStr">
        <is>
          <t>Instalação e oficinas (mês 7), visitas mensais e coleta quinzenal de amostras no piloto (meses 7 a 10), coleta final (mês 11) e apresentação dos resultados a laticínios e cooperativas (mês 12). Vinculado aos objetivos específicos 4, 5 e 7; aquisição nos meses 7 a 12 (2ª parcela).</t>
        </is>
      </c>
    </row>
    <row r="36">
      <c r="A36" s="7" t="inlineStr">
        <is>
          <t>P1</t>
        </is>
      </c>
      <c r="B36" s="7" t="inlineStr">
        <is>
          <t>Contrapartida</t>
        </is>
      </c>
      <c r="C36" s="7" t="inlineStr">
        <is>
          <t>Custeio</t>
        </is>
      </c>
      <c r="D36" s="7" t="inlineStr">
        <is>
          <t>1ª</t>
        </is>
      </c>
      <c r="E36" s="7" t="inlineStr">
        <is>
          <t>CUSTEIO: Serviços de terceiros de pessoa física e/ou jurídica de caráter eventual</t>
        </is>
      </c>
      <c r="F36" s="7" t="inlineStr">
        <is>
          <t>Consultoria jurídica em proteção de dados (LGPD)</t>
        </is>
      </c>
      <c r="G36" s="7" t="inlineStr">
        <is>
          <t>Termo de consentimento do produtor, política de privacidade e acordo de compartilhamento de dados com laticínios.</t>
        </is>
      </c>
      <c r="H36" s="7" t="n">
        <v>1</v>
      </c>
      <c r="I36" s="8" t="n">
        <v>2000</v>
      </c>
      <c r="J36" s="8">
        <f>H36*I36</f>
        <v/>
      </c>
      <c r="K36" s="7" t="inlineStr">
        <is>
          <t>1</t>
        </is>
      </c>
      <c r="L36" s="7" t="inlineStr">
        <is>
          <t>M1</t>
        </is>
      </c>
      <c r="M36" s="7" t="inlineStr">
        <is>
          <t>Base legal para coletar e tratar os dados das propriedades antes da instalação dos equipamentos. Vinculado ao objetivo específico 1; aquisição no mês 1 (1ª parcela).</t>
        </is>
      </c>
    </row>
    <row r="37">
      <c r="A37" s="7" t="inlineStr">
        <is>
          <t>P2</t>
        </is>
      </c>
      <c r="B37" s="7" t="inlineStr">
        <is>
          <t>Contrapartida</t>
        </is>
      </c>
      <c r="C37" s="7" t="inlineStr">
        <is>
          <t>Custeio</t>
        </is>
      </c>
      <c r="D37" s="7" t="inlineStr">
        <is>
          <t>1ª</t>
        </is>
      </c>
      <c r="E37" s="7" t="inlineStr">
        <is>
          <t>CUSTEIO: Serviços de terceiros de pessoa física e/ou jurídica de caráter eventual</t>
        </is>
      </c>
      <c r="F37" s="7" t="inlineStr">
        <is>
          <t>Serviço de contabilidade para a gestão financeira do projeto — meses 1 a 6</t>
        </is>
      </c>
      <c r="G37" s="7" t="inlineStr">
        <is>
          <t>Escrituração, conciliação da conta do projeto e apoio à prestação de contas da 1ª parcela (6 meses × R$ 250,00).</t>
        </is>
      </c>
      <c r="H37" s="7" t="n">
        <v>6</v>
      </c>
      <c r="I37" s="8" t="n">
        <v>250</v>
      </c>
      <c r="J37" s="8">
        <f>H37*I37</f>
        <v/>
      </c>
      <c r="K37" s="7" t="inlineStr">
        <is>
          <t>todos</t>
        </is>
      </c>
      <c r="L37" s="7" t="inlineStr">
        <is>
          <t>M1, M2, M3, M4, M5, M6</t>
        </is>
      </c>
      <c r="M37" s="7" t="inlineStr">
        <is>
          <t>Assegura a conta exclusiva, a comprovação fiscal e a prestação de contas da 1ª parcela conforme a Resolução Normativa FAPEG nº 1/2023. Vinculado a todos os objetivos específicos; aquisição nos meses 1 a 6 (1ª parcela).</t>
        </is>
      </c>
    </row>
    <row r="38">
      <c r="A38" s="7" t="inlineStr">
        <is>
          <t>P3</t>
        </is>
      </c>
      <c r="B38" s="7" t="inlineStr">
        <is>
          <t>Contrapartida</t>
        </is>
      </c>
      <c r="C38" s="7" t="inlineStr">
        <is>
          <t>Custeio</t>
        </is>
      </c>
      <c r="D38" s="7" t="inlineStr">
        <is>
          <t>2ª</t>
        </is>
      </c>
      <c r="E38" s="7" t="inlineStr">
        <is>
          <t>CUSTEIO: Aquisição de material de consumo</t>
        </is>
      </c>
      <c r="F38" s="7" t="inlineStr">
        <is>
          <t>Equipamentos de proteção descartáveis para acesso à sala de ordenha</t>
        </is>
      </c>
      <c r="G38" s="7" t="inlineStr">
        <is>
          <t>Luvas nitrílicas, toucas, propés e aventais descartáveis (1 lote).</t>
        </is>
      </c>
      <c r="H38" s="7" t="n">
        <v>1</v>
      </c>
      <c r="I38" s="8" t="n">
        <v>1000</v>
      </c>
      <c r="J38" s="8">
        <f>H38*I38</f>
        <v/>
      </c>
      <c r="K38" s="7" t="inlineStr">
        <is>
          <t>4 e 5</t>
        </is>
      </c>
      <c r="L38" s="7" t="inlineStr">
        <is>
          <t>M7</t>
        </is>
      </c>
      <c r="M38" s="7" t="inlineStr">
        <is>
          <t>Biosseguridade nas visitas de instalação e de coleta, evitando levar agentes patogênicos entre as propriedades. Vinculado aos objetivos específicos 4 e 5; aquisição no mês 7 (2ª parcela).</t>
        </is>
      </c>
    </row>
    <row r="39">
      <c r="A39" s="7" t="inlineStr">
        <is>
          <t>P4</t>
        </is>
      </c>
      <c r="B39" s="7" t="inlineStr">
        <is>
          <t>Contrapartida</t>
        </is>
      </c>
      <c r="C39" s="7" t="inlineStr">
        <is>
          <t>Custeio</t>
        </is>
      </c>
      <c r="D39" s="7" t="inlineStr">
        <is>
          <t>2ª</t>
        </is>
      </c>
      <c r="E39" s="7" t="inlineStr">
        <is>
          <t>CUSTEIO: Serviços de terceiros de pessoa física e/ou jurídica de caráter eventual</t>
        </is>
      </c>
      <c r="F39" s="7" t="inlineStr">
        <is>
          <t>Serviço de contabilidade para a gestão financeira do projeto — meses 7 a 12</t>
        </is>
      </c>
      <c r="G39" s="7" t="inlineStr">
        <is>
          <t>Escrituração, conciliação da conta do projeto e apoio à prestação de contas final (6 meses × R$ 250,00).</t>
        </is>
      </c>
      <c r="H39" s="7" t="n">
        <v>6</v>
      </c>
      <c r="I39" s="8" t="n">
        <v>250</v>
      </c>
      <c r="J39" s="8">
        <f>H39*I39</f>
        <v/>
      </c>
      <c r="K39" s="7" t="inlineStr">
        <is>
          <t>todos</t>
        </is>
      </c>
      <c r="L39" s="7" t="inlineStr">
        <is>
          <t>M7, M8, M9, M10, M11, M12</t>
        </is>
      </c>
      <c r="M39" s="7" t="inlineStr">
        <is>
          <t>Assegura a comprovação fiscal e a prestação de contas final do projeto. Vinculado a todos os objetivos específicos; aquisição nos meses 7 a 12 (2ª parcela).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</cols>
  <sheetData>
    <row r="1">
      <c r="A1" s="6" t="inlineStr">
        <is>
          <t>ID</t>
        </is>
      </c>
      <c r="B1" s="6" t="inlineStr">
        <is>
          <t>Item</t>
        </is>
      </c>
      <c r="C1" s="6" t="inlineStr">
        <is>
          <t>Fonte</t>
        </is>
      </c>
      <c r="D1" s="6" t="inlineStr">
        <is>
          <t>M1</t>
        </is>
      </c>
      <c r="E1" s="6" t="inlineStr">
        <is>
          <t>M2</t>
        </is>
      </c>
      <c r="F1" s="6" t="inlineStr">
        <is>
          <t>M3</t>
        </is>
      </c>
      <c r="G1" s="6" t="inlineStr">
        <is>
          <t>M4</t>
        </is>
      </c>
      <c r="H1" s="6" t="inlineStr">
        <is>
          <t>M5</t>
        </is>
      </c>
      <c r="I1" s="6" t="inlineStr">
        <is>
          <t>M6</t>
        </is>
      </c>
      <c r="J1" s="6" t="inlineStr">
        <is>
          <t>M7</t>
        </is>
      </c>
      <c r="K1" s="6" t="inlineStr">
        <is>
          <t>M8</t>
        </is>
      </c>
      <c r="L1" s="6" t="inlineStr">
        <is>
          <t>M9</t>
        </is>
      </c>
      <c r="M1" s="6" t="inlineStr">
        <is>
          <t>M10</t>
        </is>
      </c>
      <c r="N1" s="6" t="inlineStr">
        <is>
          <t>M11</t>
        </is>
      </c>
      <c r="O1" s="6" t="inlineStr">
        <is>
          <t>M12</t>
        </is>
      </c>
      <c r="P1" s="6" t="inlineStr">
        <is>
          <t>Total</t>
        </is>
      </c>
      <c r="Q1" s="6" t="inlineStr">
        <is>
          <t>Confere</t>
        </is>
      </c>
    </row>
    <row r="2">
      <c r="A2" t="inlineStr">
        <is>
          <t>C1</t>
        </is>
      </c>
      <c r="B2" t="inlineStr">
        <is>
          <t>Computador portátil para desenvolvimento e ciência de dados</t>
        </is>
      </c>
      <c r="C2" t="inlineStr">
        <is>
          <t>Subvenção</t>
        </is>
      </c>
      <c r="D2" s="9" t="n">
        <v>8500</v>
      </c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>
        <f>SUM(D2:O2)</f>
        <v/>
      </c>
      <c r="Q2">
        <f>IF(ROUND(P2-SUMIF(Despesas!A:A,A2,Despesas!J:J),2)=0,"OK","DIVERGE")</f>
        <v/>
      </c>
    </row>
    <row r="3">
      <c r="A3" t="inlineStr">
        <is>
          <t>C2</t>
        </is>
      </c>
      <c r="B3" t="inlineStr">
        <is>
          <t>Estação de solda com controle digital de temperatura</t>
        </is>
      </c>
      <c r="C3" t="inlineStr">
        <is>
          <t>Subvenção</t>
        </is>
      </c>
      <c r="D3" s="9" t="n">
        <v>700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>
        <f>SUM(D3:O3)</f>
        <v/>
      </c>
      <c r="Q3">
        <f>IF(ROUND(P3-SUMIF(Despesas!A:A,A3,Despesas!J:J),2)=0,"OK","DIVERGE")</f>
        <v/>
      </c>
    </row>
    <row r="4">
      <c r="A4" t="inlineStr">
        <is>
          <t>C3</t>
        </is>
      </c>
      <c r="B4" t="inlineStr">
        <is>
          <t>Multímetro digital true RMS</t>
        </is>
      </c>
      <c r="C4" t="inlineStr">
        <is>
          <t>Subvenção</t>
        </is>
      </c>
      <c r="D4" s="9" t="n">
        <v>450</v>
      </c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>
        <f>SUM(D4:O4)</f>
        <v/>
      </c>
      <c r="Q4">
        <f>IF(ROUND(P4-SUMIF(Despesas!A:A,A4,Despesas!J:J),2)=0,"OK","DIVERGE")</f>
        <v/>
      </c>
    </row>
    <row r="5">
      <c r="A5" t="inlineStr">
        <is>
          <t>C4</t>
        </is>
      </c>
      <c r="B5" t="inlineStr">
        <is>
          <t>Fonte de alimentação de bancada regulável</t>
        </is>
      </c>
      <c r="C5" t="inlineStr">
        <is>
          <t>Subvenção</t>
        </is>
      </c>
      <c r="D5" s="9" t="n">
        <v>650</v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>
        <f>SUM(D5:O5)</f>
        <v/>
      </c>
      <c r="Q5">
        <f>IF(ROUND(P5-SUMIF(Despesas!A:A,A5,Despesas!J:J),2)=0,"OK","DIVERGE")</f>
        <v/>
      </c>
    </row>
    <row r="6">
      <c r="A6" t="inlineStr">
        <is>
          <t>C5</t>
        </is>
      </c>
      <c r="B6" t="inlineStr">
        <is>
          <t>Impressora 3D de fabricação por filamento fundido</t>
        </is>
      </c>
      <c r="C6" t="inlineStr">
        <is>
          <t>Subvenção</t>
        </is>
      </c>
      <c r="D6" s="9" t="n"/>
      <c r="E6" s="9" t="n">
        <v>5500</v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>
        <f>SUM(D6:O6)</f>
        <v/>
      </c>
      <c r="Q6">
        <f>IF(ROUND(P6-SUMIF(Despesas!A:A,A6,Despesas!J:J),2)=0,"OK","DIVERGE")</f>
        <v/>
      </c>
    </row>
    <row r="7">
      <c r="A7" t="inlineStr">
        <is>
          <t>C6</t>
        </is>
      </c>
      <c r="B7" t="inlineStr">
        <is>
          <t>Computador de borda (gateway) — prova de conceito</t>
        </is>
      </c>
      <c r="C7" t="inlineStr">
        <is>
          <t>Subvenção</t>
        </is>
      </c>
      <c r="D7" s="9" t="n"/>
      <c r="E7" s="9" t="n"/>
      <c r="F7" s="9" t="n">
        <v>1100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>
        <f>SUM(D7:O7)</f>
        <v/>
      </c>
      <c r="Q7">
        <f>IF(ROUND(P7-SUMIF(Despesas!A:A,A7,Despesas!J:J),2)=0,"OK","DIVERGE")</f>
        <v/>
      </c>
    </row>
    <row r="8">
      <c r="A8" t="inlineStr">
        <is>
          <t>C7</t>
        </is>
      </c>
      <c r="B8" t="inlineStr">
        <is>
          <t>Roteador 4G com antena externa — prova de conceito</t>
        </is>
      </c>
      <c r="C8" t="inlineStr">
        <is>
          <t>Subvenção</t>
        </is>
      </c>
      <c r="D8" s="9" t="n"/>
      <c r="E8" s="9" t="n"/>
      <c r="F8" s="9" t="n">
        <v>750</v>
      </c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>
        <f>SUM(D8:O8)</f>
        <v/>
      </c>
      <c r="Q8">
        <f>IF(ROUND(P8-SUMIF(Despesas!A:A,A8,Despesas!J:J),2)=0,"OK","DIVERGE")</f>
        <v/>
      </c>
    </row>
    <row r="9">
      <c r="A9" t="inlineStr">
        <is>
          <t>C8</t>
        </is>
      </c>
      <c r="B9" t="inlineStr">
        <is>
          <t>Registrador de temperatura de referência — bancada e prova de conceito</t>
        </is>
      </c>
      <c r="C9" t="inlineStr">
        <is>
          <t>Subvenção</t>
        </is>
      </c>
      <c r="D9" s="9" t="n"/>
      <c r="E9" s="9" t="n"/>
      <c r="F9" s="9" t="n">
        <v>900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>
        <f>SUM(D9:O9)</f>
        <v/>
      </c>
      <c r="Q9">
        <f>IF(ROUND(P9-SUMIF(Despesas!A:A,A9,Despesas!J:J),2)=0,"OK","DIVERGE")</f>
        <v/>
      </c>
    </row>
    <row r="10">
      <c r="A10" t="inlineStr">
        <is>
          <t>C9</t>
        </is>
      </c>
      <c r="B10" t="inlineStr">
        <is>
          <t>Computadores de borda (gateways) — piloto</t>
        </is>
      </c>
      <c r="C10" t="inlineStr">
        <is>
          <t>Subvenção</t>
        </is>
      </c>
      <c r="D10" s="9" t="n"/>
      <c r="E10" s="9" t="n"/>
      <c r="F10" s="9" t="n"/>
      <c r="G10" s="9" t="n"/>
      <c r="H10" s="9" t="n"/>
      <c r="I10" s="9" t="n"/>
      <c r="J10" s="9" t="n">
        <v>4400</v>
      </c>
      <c r="K10" s="9" t="n"/>
      <c r="L10" s="9" t="n"/>
      <c r="M10" s="9" t="n"/>
      <c r="N10" s="9" t="n"/>
      <c r="O10" s="9" t="n"/>
      <c r="P10" s="9">
        <f>SUM(D10:O10)</f>
        <v/>
      </c>
      <c r="Q10">
        <f>IF(ROUND(P10-SUMIF(Despesas!A:A,A10,Despesas!J:J),2)=0,"OK","DIVERGE")</f>
        <v/>
      </c>
    </row>
    <row r="11">
      <c r="A11" t="inlineStr">
        <is>
          <t>C10</t>
        </is>
      </c>
      <c r="B11" t="inlineStr">
        <is>
          <t>Roteadores 4G com antena externa — piloto</t>
        </is>
      </c>
      <c r="C11" t="inlineStr">
        <is>
          <t>Subvenção</t>
        </is>
      </c>
      <c r="D11" s="9" t="n"/>
      <c r="E11" s="9" t="n"/>
      <c r="F11" s="9" t="n"/>
      <c r="G11" s="9" t="n"/>
      <c r="H11" s="9" t="n"/>
      <c r="I11" s="9" t="n"/>
      <c r="J11" s="9" t="n">
        <v>3000</v>
      </c>
      <c r="K11" s="9" t="n"/>
      <c r="L11" s="9" t="n"/>
      <c r="M11" s="9" t="n"/>
      <c r="N11" s="9" t="n"/>
      <c r="O11" s="9" t="n"/>
      <c r="P11" s="9">
        <f>SUM(D11:O11)</f>
        <v/>
      </c>
      <c r="Q11">
        <f>IF(ROUND(P11-SUMIF(Despesas!A:A,A11,Despesas!J:J),2)=0,"OK","DIVERGE")</f>
        <v/>
      </c>
    </row>
    <row r="12">
      <c r="A12" t="inlineStr">
        <is>
          <t>C11</t>
        </is>
      </c>
      <c r="B12" t="inlineStr">
        <is>
          <t>Registradores de temperatura de referência — piloto</t>
        </is>
      </c>
      <c r="C12" t="inlineStr">
        <is>
          <t>Subvenção</t>
        </is>
      </c>
      <c r="D12" s="9" t="n"/>
      <c r="E12" s="9" t="n"/>
      <c r="F12" s="9" t="n"/>
      <c r="G12" s="9" t="n"/>
      <c r="H12" s="9" t="n"/>
      <c r="I12" s="9" t="n"/>
      <c r="J12" s="9" t="n">
        <v>1800</v>
      </c>
      <c r="K12" s="9" t="n"/>
      <c r="L12" s="9" t="n"/>
      <c r="M12" s="9" t="n"/>
      <c r="N12" s="9" t="n"/>
      <c r="O12" s="9" t="n"/>
      <c r="P12" s="9">
        <f>SUM(D12:O12)</f>
        <v/>
      </c>
      <c r="Q12">
        <f>IF(ROUND(P12-SUMIF(Despesas!A:A,A12,Despesas!J:J),2)=0,"OK","DIVERGE")</f>
        <v/>
      </c>
    </row>
    <row r="13">
      <c r="A13" t="inlineStr">
        <is>
          <t>K1</t>
        </is>
      </c>
      <c r="B13" t="inlineStr">
        <is>
          <t>Hospedagem em nuvem da plataforma — meses 1 a 6</t>
        </is>
      </c>
      <c r="C13" t="inlineStr">
        <is>
          <t>Subvenção</t>
        </is>
      </c>
      <c r="D13" s="9" t="n">
        <v>300</v>
      </c>
      <c r="E13" s="9" t="n">
        <v>300</v>
      </c>
      <c r="F13" s="9" t="n">
        <v>300</v>
      </c>
      <c r="G13" s="9" t="n">
        <v>300</v>
      </c>
      <c r="H13" s="9" t="n">
        <v>300</v>
      </c>
      <c r="I13" s="9" t="n">
        <v>300</v>
      </c>
      <c r="J13" s="9" t="n"/>
      <c r="K13" s="9" t="n"/>
      <c r="L13" s="9" t="n"/>
      <c r="M13" s="9" t="n"/>
      <c r="N13" s="9" t="n"/>
      <c r="O13" s="9" t="n"/>
      <c r="P13" s="9">
        <f>SUM(D13:O13)</f>
        <v/>
      </c>
      <c r="Q13">
        <f>IF(ROUND(P13-SUMIF(Despesas!A:A,A13,Despesas!J:J),2)=0,"OK","DIVERGE")</f>
        <v/>
      </c>
    </row>
    <row r="14">
      <c r="A14" t="inlineStr">
        <is>
          <t>K2</t>
        </is>
      </c>
      <c r="B14" t="inlineStr">
        <is>
          <t>Combustível para deslocamentos — meses 1 a 6</t>
        </is>
      </c>
      <c r="C14" t="inlineStr">
        <is>
          <t>Subvenção</t>
        </is>
      </c>
      <c r="D14" s="9" t="n">
        <v>504</v>
      </c>
      <c r="E14" s="9" t="n">
        <v>252</v>
      </c>
      <c r="F14" s="9" t="n"/>
      <c r="G14" s="9" t="n">
        <v>378</v>
      </c>
      <c r="H14" s="9" t="n"/>
      <c r="I14" s="9" t="n">
        <v>378</v>
      </c>
      <c r="J14" s="9" t="n"/>
      <c r="K14" s="9" t="n"/>
      <c r="L14" s="9" t="n"/>
      <c r="M14" s="9" t="n"/>
      <c r="N14" s="9" t="n"/>
      <c r="O14" s="9" t="n"/>
      <c r="P14" s="9">
        <f>SUM(D14:O14)</f>
        <v/>
      </c>
      <c r="Q14">
        <f>IF(ROUND(P14-SUMIF(Despesas!A:A,A14,Despesas!J:J),2)=0,"OK","DIVERGE")</f>
        <v/>
      </c>
    </row>
    <row r="15">
      <c r="A15" t="inlineStr">
        <is>
          <t>K3</t>
        </is>
      </c>
      <c r="B15" t="inlineStr">
        <is>
          <t>Componentes eletrônicos dos nós de tanque — protótipos</t>
        </is>
      </c>
      <c r="C15" t="inlineStr">
        <is>
          <t>Subvenção</t>
        </is>
      </c>
      <c r="D15" s="9" t="n"/>
      <c r="E15" s="9" t="n">
        <v>1900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>
        <f>SUM(D15:O15)</f>
        <v/>
      </c>
      <c r="Q15">
        <f>IF(ROUND(P15-SUMIF(Despesas!A:A,A15,Despesas!J:J),2)=0,"OK","DIVERGE")</f>
        <v/>
      </c>
    </row>
    <row r="16">
      <c r="A16" t="inlineStr">
        <is>
          <t>K4</t>
        </is>
      </c>
      <c r="B16" t="inlineStr">
        <is>
          <t>Componentes da microestação de THI — protótipo</t>
        </is>
      </c>
      <c r="C16" t="inlineStr">
        <is>
          <t>Subvenção</t>
        </is>
      </c>
      <c r="D16" s="9" t="n"/>
      <c r="E16" s="9" t="n">
        <v>300</v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>
        <f>SUM(D16:O16)</f>
        <v/>
      </c>
      <c r="Q16">
        <f>IF(ROUND(P16-SUMIF(Despesas!A:A,A16,Despesas!J:J),2)=0,"OK","DIVERGE")</f>
        <v/>
      </c>
    </row>
    <row r="17">
      <c r="A17" t="inlineStr">
        <is>
          <t>K5</t>
        </is>
      </c>
      <c r="B17" t="inlineStr">
        <is>
          <t>Filamento para impressão 3D (PETG e ASA)</t>
        </is>
      </c>
      <c r="C17" t="inlineStr">
        <is>
          <t>Subvenção</t>
        </is>
      </c>
      <c r="D17" s="9" t="n"/>
      <c r="E17" s="9" t="n">
        <v>750</v>
      </c>
      <c r="F17" s="9" t="n">
        <v>750</v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>
        <f>SUM(D17:O17)</f>
        <v/>
      </c>
      <c r="Q17">
        <f>IF(ROUND(P17-SUMIF(Despesas!A:A,A17,Despesas!J:J),2)=0,"OK","DIVERGE")</f>
        <v/>
      </c>
    </row>
    <row r="18">
      <c r="A18" t="inlineStr">
        <is>
          <t>K6</t>
        </is>
      </c>
      <c r="B18" t="inlineStr">
        <is>
          <t>Consumíveis de prototipagem eletrônica</t>
        </is>
      </c>
      <c r="C18" t="inlineStr">
        <is>
          <t>Subvenção</t>
        </is>
      </c>
      <c r="D18" s="9" t="n"/>
      <c r="E18" s="9" t="n">
        <v>688</v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>
        <f>SUM(D18:O18)</f>
        <v/>
      </c>
      <c r="Q18">
        <f>IF(ROUND(P18-SUMIF(Despesas!A:A,A18,Despesas!J:J),2)=0,"OK","DIVERGE")</f>
        <v/>
      </c>
    </row>
    <row r="19">
      <c r="A19" t="inlineStr">
        <is>
          <t>K7</t>
        </is>
      </c>
      <c r="B19" t="inlineStr">
        <is>
          <t>Material de instalação sanitária dos nós de tanque — protótipos</t>
        </is>
      </c>
      <c r="C19" t="inlineStr">
        <is>
          <t>Subvenção</t>
        </is>
      </c>
      <c r="D19" s="9" t="n"/>
      <c r="E19" s="9" t="n"/>
      <c r="F19" s="9" t="n">
        <v>800</v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>
        <f>SUM(D19:O19)</f>
        <v/>
      </c>
      <c r="Q19">
        <f>IF(ROUND(P19-SUMIF(Despesas!A:A,A19,Despesas!J:J),2)=0,"OK","DIVERGE")</f>
        <v/>
      </c>
    </row>
    <row r="20">
      <c r="A20" t="inlineStr">
        <is>
          <t>K8</t>
        </is>
      </c>
      <c r="B20" t="inlineStr">
        <is>
          <t>Calibração rastreável (RBC) das sondas dos protótipos</t>
        </is>
      </c>
      <c r="C20" t="inlineStr">
        <is>
          <t>Subvenção</t>
        </is>
      </c>
      <c r="D20" s="9" t="n"/>
      <c r="E20" s="9" t="n"/>
      <c r="F20" s="9" t="n"/>
      <c r="G20" s="9" t="n">
        <v>400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>
        <f>SUM(D20:O20)</f>
        <v/>
      </c>
      <c r="Q20">
        <f>IF(ROUND(P20-SUMIF(Despesas!A:A,A20,Despesas!J:J),2)=0,"OK","DIVERGE")</f>
        <v/>
      </c>
    </row>
    <row r="21">
      <c r="A21" t="inlineStr">
        <is>
          <t>K9</t>
        </is>
      </c>
      <c r="B21" t="inlineStr">
        <is>
          <t>Serviço de mensageria (API de mensagens) — meses 5 e 6</t>
        </is>
      </c>
      <c r="C21" t="inlineStr">
        <is>
          <t>Subvenção</t>
        </is>
      </c>
      <c r="D21" s="9" t="n"/>
      <c r="E21" s="9" t="n"/>
      <c r="F21" s="9" t="n"/>
      <c r="G21" s="9" t="n"/>
      <c r="H21" s="9" t="n">
        <v>150</v>
      </c>
      <c r="I21" s="9" t="n">
        <v>150</v>
      </c>
      <c r="J21" s="9" t="n"/>
      <c r="K21" s="9" t="n"/>
      <c r="L21" s="9" t="n"/>
      <c r="M21" s="9" t="n"/>
      <c r="N21" s="9" t="n"/>
      <c r="O21" s="9" t="n"/>
      <c r="P21" s="9">
        <f>SUM(D21:O21)</f>
        <v/>
      </c>
      <c r="Q21">
        <f>IF(ROUND(P21-SUMIF(Despesas!A:A,A21,Despesas!J:J),2)=0,"OK","DIVERGE")</f>
        <v/>
      </c>
    </row>
    <row r="22">
      <c r="A22" t="inlineStr">
        <is>
          <t>K10</t>
        </is>
      </c>
      <c r="B22" t="inlineStr">
        <is>
          <t>Reagente para California Mastitis Test (CMT) — linha de base</t>
        </is>
      </c>
      <c r="C22" t="inlineStr">
        <is>
          <t>Subvenção</t>
        </is>
      </c>
      <c r="D22" s="9" t="n"/>
      <c r="E22" s="9" t="n"/>
      <c r="F22" s="9" t="n"/>
      <c r="G22" s="9" t="n"/>
      <c r="H22" s="9" t="n"/>
      <c r="I22" s="9" t="n">
        <v>330</v>
      </c>
      <c r="J22" s="9" t="n"/>
      <c r="K22" s="9" t="n"/>
      <c r="L22" s="9" t="n"/>
      <c r="M22" s="9" t="n"/>
      <c r="N22" s="9" t="n"/>
      <c r="O22" s="9" t="n"/>
      <c r="P22" s="9">
        <f>SUM(D22:O22)</f>
        <v/>
      </c>
      <c r="Q22">
        <f>IF(ROUND(P22-SUMIF(Despesas!A:A,A22,Despesas!J:J),2)=0,"OK","DIVERGE")</f>
        <v/>
      </c>
    </row>
    <row r="23">
      <c r="A23" t="inlineStr">
        <is>
          <t>K11</t>
        </is>
      </c>
      <c r="B23" t="inlineStr">
        <is>
          <t>Raquete (bandeja) para CMT</t>
        </is>
      </c>
      <c r="C23" t="inlineStr">
        <is>
          <t>Subvenção</t>
        </is>
      </c>
      <c r="D23" s="9" t="n"/>
      <c r="E23" s="9" t="n"/>
      <c r="F23" s="9" t="n"/>
      <c r="G23" s="9" t="n"/>
      <c r="H23" s="9" t="n"/>
      <c r="I23" s="9" t="n">
        <v>270</v>
      </c>
      <c r="J23" s="9" t="n"/>
      <c r="K23" s="9" t="n"/>
      <c r="L23" s="9" t="n"/>
      <c r="M23" s="9" t="n"/>
      <c r="N23" s="9" t="n"/>
      <c r="O23" s="9" t="n"/>
      <c r="P23" s="9">
        <f>SUM(D23:O23)</f>
        <v/>
      </c>
      <c r="Q23">
        <f>IF(ROUND(P23-SUMIF(Despesas!A:A,A23,Despesas!J:J),2)=0,"OK","DIVERGE")</f>
        <v/>
      </c>
    </row>
    <row r="24">
      <c r="A24" t="inlineStr">
        <is>
          <t>K12</t>
        </is>
      </c>
      <c r="B24" t="inlineStr">
        <is>
          <t>Caixa térmica para transporte de amostras de leite</t>
        </is>
      </c>
      <c r="C24" t="inlineStr">
        <is>
          <t>Subvenção</t>
        </is>
      </c>
      <c r="D24" s="9" t="n"/>
      <c r="E24" s="9" t="n"/>
      <c r="F24" s="9" t="n"/>
      <c r="G24" s="9" t="n"/>
      <c r="H24" s="9" t="n"/>
      <c r="I24" s="9" t="n">
        <v>450</v>
      </c>
      <c r="J24" s="9" t="n"/>
      <c r="K24" s="9" t="n"/>
      <c r="L24" s="9" t="n"/>
      <c r="M24" s="9" t="n"/>
      <c r="N24" s="9" t="n"/>
      <c r="O24" s="9" t="n"/>
      <c r="P24" s="9">
        <f>SUM(D24:O24)</f>
        <v/>
      </c>
      <c r="Q24">
        <f>IF(ROUND(P24-SUMIF(Despesas!A:A,A24,Despesas!J:J),2)=0,"OK","DIVERGE")</f>
        <v/>
      </c>
    </row>
    <row r="25">
      <c r="A25" t="inlineStr">
        <is>
          <t>K13</t>
        </is>
      </c>
      <c r="B25" t="inlineStr">
        <is>
          <t>Análises laboratoriais de CCS — linha de base</t>
        </is>
      </c>
      <c r="C25" t="inlineStr">
        <is>
          <t>Subvenção</t>
        </is>
      </c>
      <c r="D25" s="9" t="n"/>
      <c r="E25" s="9" t="n"/>
      <c r="F25" s="9" t="n"/>
      <c r="G25" s="9" t="n"/>
      <c r="H25" s="9" t="n"/>
      <c r="I25" s="9" t="n">
        <v>1200</v>
      </c>
      <c r="J25" s="9" t="n"/>
      <c r="K25" s="9" t="n"/>
      <c r="L25" s="9" t="n"/>
      <c r="M25" s="9" t="n"/>
      <c r="N25" s="9" t="n"/>
      <c r="O25" s="9" t="n"/>
      <c r="P25" s="9">
        <f>SUM(D25:O25)</f>
        <v/>
      </c>
      <c r="Q25">
        <f>IF(ROUND(P25-SUMIF(Despesas!A:A,A25,Despesas!J:J),2)=0,"OK","DIVERGE")</f>
        <v/>
      </c>
    </row>
    <row r="26">
      <c r="A26" t="inlineStr">
        <is>
          <t>K14</t>
        </is>
      </c>
      <c r="B26" t="inlineStr">
        <is>
          <t>Componentes eletrônicos dos nós de tanque — piloto</t>
        </is>
      </c>
      <c r="C26" t="inlineStr">
        <is>
          <t>Subvenção</t>
        </is>
      </c>
      <c r="D26" s="9" t="n"/>
      <c r="E26" s="9" t="n"/>
      <c r="F26" s="9" t="n"/>
      <c r="G26" s="9" t="n"/>
      <c r="H26" s="9" t="n"/>
      <c r="I26" s="9" t="n"/>
      <c r="J26" s="9" t="n">
        <v>3800</v>
      </c>
      <c r="K26" s="9" t="n"/>
      <c r="L26" s="9" t="n"/>
      <c r="M26" s="9" t="n"/>
      <c r="N26" s="9" t="n"/>
      <c r="O26" s="9" t="n"/>
      <c r="P26" s="9">
        <f>SUM(D26:O26)</f>
        <v/>
      </c>
      <c r="Q26">
        <f>IF(ROUND(P26-SUMIF(Despesas!A:A,A26,Despesas!J:J),2)=0,"OK","DIVERGE")</f>
        <v/>
      </c>
    </row>
    <row r="27">
      <c r="A27" t="inlineStr">
        <is>
          <t>K15</t>
        </is>
      </c>
      <c r="B27" t="inlineStr">
        <is>
          <t>Material de instalação sanitária dos nós de tanque — piloto</t>
        </is>
      </c>
      <c r="C27" t="inlineStr">
        <is>
          <t>Subvenção</t>
        </is>
      </c>
      <c r="D27" s="9" t="n"/>
      <c r="E27" s="9" t="n"/>
      <c r="F27" s="9" t="n"/>
      <c r="G27" s="9" t="n"/>
      <c r="H27" s="9" t="n"/>
      <c r="I27" s="9" t="n"/>
      <c r="J27" s="9" t="n">
        <v>1600</v>
      </c>
      <c r="K27" s="9" t="n"/>
      <c r="L27" s="9" t="n"/>
      <c r="M27" s="9" t="n"/>
      <c r="N27" s="9" t="n"/>
      <c r="O27" s="9" t="n"/>
      <c r="P27" s="9">
        <f>SUM(D27:O27)</f>
        <v/>
      </c>
      <c r="Q27">
        <f>IF(ROUND(P27-SUMIF(Despesas!A:A,A27,Despesas!J:J),2)=0,"OK","DIVERGE")</f>
        <v/>
      </c>
    </row>
    <row r="28">
      <c r="A28" t="inlineStr">
        <is>
          <t>K16</t>
        </is>
      </c>
      <c r="B28" t="inlineStr">
        <is>
          <t>Componentes das microestações de THI — piloto</t>
        </is>
      </c>
      <c r="C28" t="inlineStr">
        <is>
          <t>Subvenção</t>
        </is>
      </c>
      <c r="D28" s="9" t="n"/>
      <c r="E28" s="9" t="n"/>
      <c r="F28" s="9" t="n"/>
      <c r="G28" s="9" t="n"/>
      <c r="H28" s="9" t="n"/>
      <c r="I28" s="9" t="n"/>
      <c r="J28" s="9" t="n">
        <v>1200</v>
      </c>
      <c r="K28" s="9" t="n"/>
      <c r="L28" s="9" t="n"/>
      <c r="M28" s="9" t="n"/>
      <c r="N28" s="9" t="n"/>
      <c r="O28" s="9" t="n"/>
      <c r="P28" s="9">
        <f>SUM(D28:O28)</f>
        <v/>
      </c>
      <c r="Q28">
        <f>IF(ROUND(P28-SUMIF(Despesas!A:A,A28,Despesas!J:J),2)=0,"OK","DIVERGE")</f>
        <v/>
      </c>
    </row>
    <row r="29">
      <c r="A29" t="inlineStr">
        <is>
          <t>K17</t>
        </is>
      </c>
      <c r="B29" t="inlineStr">
        <is>
          <t>Calibração rastreável (RBC) das sondas do piloto</t>
        </is>
      </c>
      <c r="C29" t="inlineStr">
        <is>
          <t>Subvenção</t>
        </is>
      </c>
      <c r="D29" s="9" t="n"/>
      <c r="E29" s="9" t="n"/>
      <c r="F29" s="9" t="n"/>
      <c r="G29" s="9" t="n"/>
      <c r="H29" s="9" t="n"/>
      <c r="I29" s="9" t="n"/>
      <c r="J29" s="9" t="n">
        <v>800</v>
      </c>
      <c r="K29" s="9" t="n"/>
      <c r="L29" s="9" t="n"/>
      <c r="M29" s="9" t="n"/>
      <c r="N29" s="9" t="n"/>
      <c r="O29" s="9" t="n"/>
      <c r="P29" s="9">
        <f>SUM(D29:O29)</f>
        <v/>
      </c>
      <c r="Q29">
        <f>IF(ROUND(P29-SUMIF(Despesas!A:A,A29,Despesas!J:J),2)=0,"OK","DIVERGE")</f>
        <v/>
      </c>
    </row>
    <row r="30">
      <c r="A30" t="inlineStr">
        <is>
          <t>K18</t>
        </is>
      </c>
      <c r="B30" t="inlineStr">
        <is>
          <t>Reagente para California Mastitis Test (CMT) — piloto</t>
        </is>
      </c>
      <c r="C30" t="inlineStr">
        <is>
          <t>Subvenção</t>
        </is>
      </c>
      <c r="D30" s="9" t="n"/>
      <c r="E30" s="9" t="n"/>
      <c r="F30" s="9" t="n"/>
      <c r="G30" s="9" t="n"/>
      <c r="H30" s="9" t="n"/>
      <c r="I30" s="9" t="n"/>
      <c r="J30" s="9" t="n">
        <v>330</v>
      </c>
      <c r="K30" s="9" t="n"/>
      <c r="L30" s="9" t="n"/>
      <c r="M30" s="9" t="n"/>
      <c r="N30" s="9" t="n"/>
      <c r="O30" s="9" t="n"/>
      <c r="P30" s="9">
        <f>SUM(D30:O30)</f>
        <v/>
      </c>
      <c r="Q30">
        <f>IF(ROUND(P30-SUMIF(Despesas!A:A,A30,Despesas!J:J),2)=0,"OK","DIVERGE")</f>
        <v/>
      </c>
    </row>
    <row r="31">
      <c r="A31" t="inlineStr">
        <is>
          <t>K19</t>
        </is>
      </c>
      <c r="B31" t="inlineStr">
        <is>
          <t>Cartilha impressa de resposta aos alertas</t>
        </is>
      </c>
      <c r="C31" t="inlineStr">
        <is>
          <t>Subvenção</t>
        </is>
      </c>
      <c r="D31" s="9" t="n"/>
      <c r="E31" s="9" t="n"/>
      <c r="F31" s="9" t="n"/>
      <c r="G31" s="9" t="n"/>
      <c r="H31" s="9" t="n"/>
      <c r="I31" s="9" t="n"/>
      <c r="J31" s="9" t="n">
        <v>1190</v>
      </c>
      <c r="K31" s="9" t="n"/>
      <c r="L31" s="9" t="n"/>
      <c r="M31" s="9" t="n"/>
      <c r="N31" s="9" t="n"/>
      <c r="O31" s="9" t="n"/>
      <c r="P31" s="9">
        <f>SUM(D31:O31)</f>
        <v/>
      </c>
      <c r="Q31">
        <f>IF(ROUND(P31-SUMIF(Despesas!A:A,A31,Despesas!J:J),2)=0,"OK","DIVERGE")</f>
        <v/>
      </c>
    </row>
    <row r="32">
      <c r="A32" t="inlineStr">
        <is>
          <t>K20</t>
        </is>
      </c>
      <c r="B32" t="inlineStr">
        <is>
          <t>Análises laboratoriais de CCS e CBT — piloto</t>
        </is>
      </c>
      <c r="C32" t="inlineStr">
        <is>
          <t>Subvenção</t>
        </is>
      </c>
      <c r="D32" s="9" t="n"/>
      <c r="E32" s="9" t="n"/>
      <c r="F32" s="9" t="n"/>
      <c r="G32" s="9" t="n"/>
      <c r="H32" s="9" t="n"/>
      <c r="I32" s="9" t="n"/>
      <c r="J32" s="9" t="n">
        <v>1440</v>
      </c>
      <c r="K32" s="9" t="n">
        <v>1440</v>
      </c>
      <c r="L32" s="9" t="n">
        <v>1320</v>
      </c>
      <c r="M32" s="9" t="n">
        <v>1200</v>
      </c>
      <c r="N32" s="9" t="n"/>
      <c r="O32" s="9" t="n"/>
      <c r="P32" s="9">
        <f>SUM(D32:O32)</f>
        <v/>
      </c>
      <c r="Q32">
        <f>IF(ROUND(P32-SUMIF(Despesas!A:A,A32,Despesas!J:J),2)=0,"OK","DIVERGE")</f>
        <v/>
      </c>
    </row>
    <row r="33">
      <c r="A33" t="inlineStr">
        <is>
          <t>K21</t>
        </is>
      </c>
      <c r="B33" t="inlineStr">
        <is>
          <t>Hospedagem em nuvem da plataforma — meses 7 a 12</t>
        </is>
      </c>
      <c r="C33" t="inlineStr">
        <is>
          <t>Subvenção</t>
        </is>
      </c>
      <c r="D33" s="9" t="n"/>
      <c r="E33" s="9" t="n"/>
      <c r="F33" s="9" t="n"/>
      <c r="G33" s="9" t="n"/>
      <c r="H33" s="9" t="n"/>
      <c r="I33" s="9" t="n"/>
      <c r="J33" s="9" t="n">
        <v>300</v>
      </c>
      <c r="K33" s="9" t="n">
        <v>300</v>
      </c>
      <c r="L33" s="9" t="n">
        <v>300</v>
      </c>
      <c r="M33" s="9" t="n">
        <v>300</v>
      </c>
      <c r="N33" s="9" t="n">
        <v>300</v>
      </c>
      <c r="O33" s="9" t="n">
        <v>300</v>
      </c>
      <c r="P33" s="9">
        <f>SUM(D33:O33)</f>
        <v/>
      </c>
      <c r="Q33">
        <f>IF(ROUND(P33-SUMIF(Despesas!A:A,A33,Despesas!J:J),2)=0,"OK","DIVERGE")</f>
        <v/>
      </c>
    </row>
    <row r="34">
      <c r="A34" t="inlineStr">
        <is>
          <t>K22</t>
        </is>
      </c>
      <c r="B34" t="inlineStr">
        <is>
          <t>Serviço de mensageria (API de mensagens) — meses 7 a 12</t>
        </is>
      </c>
      <c r="C34" t="inlineStr">
        <is>
          <t>Subvenção</t>
        </is>
      </c>
      <c r="D34" s="9" t="n"/>
      <c r="E34" s="9" t="n"/>
      <c r="F34" s="9" t="n"/>
      <c r="G34" s="9" t="n"/>
      <c r="H34" s="9" t="n"/>
      <c r="I34" s="9" t="n"/>
      <c r="J34" s="9" t="n">
        <v>150</v>
      </c>
      <c r="K34" s="9" t="n">
        <v>150</v>
      </c>
      <c r="L34" s="9" t="n">
        <v>150</v>
      </c>
      <c r="M34" s="9" t="n">
        <v>150</v>
      </c>
      <c r="N34" s="9" t="n">
        <v>150</v>
      </c>
      <c r="O34" s="9" t="n">
        <v>150</v>
      </c>
      <c r="P34" s="9">
        <f>SUM(D34:O34)</f>
        <v/>
      </c>
      <c r="Q34">
        <f>IF(ROUND(P34-SUMIF(Despesas!A:A,A34,Despesas!J:J),2)=0,"OK","DIVERGE")</f>
        <v/>
      </c>
    </row>
    <row r="35">
      <c r="A35" t="inlineStr">
        <is>
          <t>K23</t>
        </is>
      </c>
      <c r="B35" t="inlineStr">
        <is>
          <t>Combustível para deslocamentos — meses 7 a 12</t>
        </is>
      </c>
      <c r="C35" t="inlineStr">
        <is>
          <t>Subvenção</t>
        </is>
      </c>
      <c r="D35" s="9" t="n"/>
      <c r="E35" s="9" t="n"/>
      <c r="F35" s="9" t="n"/>
      <c r="G35" s="9" t="n"/>
      <c r="H35" s="9" t="n"/>
      <c r="I35" s="9" t="n"/>
      <c r="J35" s="9" t="n">
        <v>945</v>
      </c>
      <c r="K35" s="9" t="n">
        <v>630</v>
      </c>
      <c r="L35" s="9" t="n">
        <v>630</v>
      </c>
      <c r="M35" s="9" t="n">
        <v>630</v>
      </c>
      <c r="N35" s="9" t="n">
        <v>315</v>
      </c>
      <c r="O35" s="9" t="n">
        <v>630</v>
      </c>
      <c r="P35" s="9">
        <f>SUM(D35:O35)</f>
        <v/>
      </c>
      <c r="Q35">
        <f>IF(ROUND(P35-SUMIF(Despesas!A:A,A35,Despesas!J:J),2)=0,"OK","DIVERGE")</f>
        <v/>
      </c>
    </row>
    <row r="36">
      <c r="A36" t="inlineStr">
        <is>
          <t>P1</t>
        </is>
      </c>
      <c r="B36" t="inlineStr">
        <is>
          <t>Consultoria jurídica em proteção de dados (LGPD)</t>
        </is>
      </c>
      <c r="C36" t="inlineStr">
        <is>
          <t>Contrapartida</t>
        </is>
      </c>
      <c r="D36" s="9" t="n">
        <v>2000</v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>
        <f>SUM(D36:O36)</f>
        <v/>
      </c>
      <c r="Q36">
        <f>IF(ROUND(P36-SUMIF(Despesas!A:A,A36,Despesas!J:J),2)=0,"OK","DIVERGE")</f>
        <v/>
      </c>
    </row>
    <row r="37">
      <c r="A37" t="inlineStr">
        <is>
          <t>P2</t>
        </is>
      </c>
      <c r="B37" t="inlineStr">
        <is>
          <t>Serviço de contabilidade para a gestão financeira do projeto — meses 1 a 6</t>
        </is>
      </c>
      <c r="C37" t="inlineStr">
        <is>
          <t>Contrapartida</t>
        </is>
      </c>
      <c r="D37" s="9" t="n">
        <v>250</v>
      </c>
      <c r="E37" s="9" t="n">
        <v>250</v>
      </c>
      <c r="F37" s="9" t="n">
        <v>250</v>
      </c>
      <c r="G37" s="9" t="n">
        <v>250</v>
      </c>
      <c r="H37" s="9" t="n">
        <v>250</v>
      </c>
      <c r="I37" s="9" t="n">
        <v>250</v>
      </c>
      <c r="J37" s="9" t="n"/>
      <c r="K37" s="9" t="n"/>
      <c r="L37" s="9" t="n"/>
      <c r="M37" s="9" t="n"/>
      <c r="N37" s="9" t="n"/>
      <c r="O37" s="9" t="n"/>
      <c r="P37" s="9">
        <f>SUM(D37:O37)</f>
        <v/>
      </c>
      <c r="Q37">
        <f>IF(ROUND(P37-SUMIF(Despesas!A:A,A37,Despesas!J:J),2)=0,"OK","DIVERGE")</f>
        <v/>
      </c>
    </row>
    <row r="38">
      <c r="A38" t="inlineStr">
        <is>
          <t>P3</t>
        </is>
      </c>
      <c r="B38" t="inlineStr">
        <is>
          <t>Equipamentos de proteção descartáveis para acesso à sala de ordenha</t>
        </is>
      </c>
      <c r="C38" t="inlineStr">
        <is>
          <t>Contrapartida</t>
        </is>
      </c>
      <c r="D38" s="9" t="n"/>
      <c r="E38" s="9" t="n"/>
      <c r="F38" s="9" t="n"/>
      <c r="G38" s="9" t="n"/>
      <c r="H38" s="9" t="n"/>
      <c r="I38" s="9" t="n"/>
      <c r="J38" s="9" t="n">
        <v>1000</v>
      </c>
      <c r="K38" s="9" t="n"/>
      <c r="L38" s="9" t="n"/>
      <c r="M38" s="9" t="n"/>
      <c r="N38" s="9" t="n"/>
      <c r="O38" s="9" t="n"/>
      <c r="P38" s="9">
        <f>SUM(D38:O38)</f>
        <v/>
      </c>
      <c r="Q38">
        <f>IF(ROUND(P38-SUMIF(Despesas!A:A,A38,Despesas!J:J),2)=0,"OK","DIVERGE")</f>
        <v/>
      </c>
    </row>
    <row r="39">
      <c r="A39" t="inlineStr">
        <is>
          <t>P4</t>
        </is>
      </c>
      <c r="B39" t="inlineStr">
        <is>
          <t>Serviço de contabilidade para a gestão financeira do projeto — meses 7 a 12</t>
        </is>
      </c>
      <c r="C39" t="inlineStr">
        <is>
          <t>Contrapartida</t>
        </is>
      </c>
      <c r="D39" s="9" t="n"/>
      <c r="E39" s="9" t="n"/>
      <c r="F39" s="9" t="n"/>
      <c r="G39" s="9" t="n"/>
      <c r="H39" s="9" t="n"/>
      <c r="I39" s="9" t="n"/>
      <c r="J39" s="9" t="n">
        <v>250</v>
      </c>
      <c r="K39" s="9" t="n">
        <v>250</v>
      </c>
      <c r="L39" s="9" t="n">
        <v>250</v>
      </c>
      <c r="M39" s="9" t="n">
        <v>250</v>
      </c>
      <c r="N39" s="9" t="n">
        <v>250</v>
      </c>
      <c r="O39" s="9" t="n">
        <v>250</v>
      </c>
      <c r="P39" s="9">
        <f>SUM(D39:O39)</f>
        <v/>
      </c>
      <c r="Q39">
        <f>IF(ROUND(P39-SUMIF(Despesas!A:A,A39,Despesas!J:J),2)=0,"OK","DIVERGE")</f>
        <v/>
      </c>
    </row>
    <row r="40">
      <c r="B40" s="10" t="inlineStr">
        <is>
          <t>Subvenção por mês</t>
        </is>
      </c>
      <c r="D40" s="11">
        <f>SUMIF($C$2:$C$39,"Subvenção",D2:D39)</f>
        <v/>
      </c>
      <c r="E40" s="11">
        <f>SUMIF($C$2:$C$39,"Subvenção",E2:E39)</f>
        <v/>
      </c>
      <c r="F40" s="11">
        <f>SUMIF($C$2:$C$39,"Subvenção",F2:F39)</f>
        <v/>
      </c>
      <c r="G40" s="11">
        <f>SUMIF($C$2:$C$39,"Subvenção",G2:G39)</f>
        <v/>
      </c>
      <c r="H40" s="11">
        <f>SUMIF($C$2:$C$39,"Subvenção",H2:H39)</f>
        <v/>
      </c>
      <c r="I40" s="11">
        <f>SUMIF($C$2:$C$39,"Subvenção",I2:I39)</f>
        <v/>
      </c>
      <c r="J40" s="11">
        <f>SUMIF($C$2:$C$39,"Subvenção",J2:J39)</f>
        <v/>
      </c>
      <c r="K40" s="11">
        <f>SUMIF($C$2:$C$39,"Subvenção",K2:K39)</f>
        <v/>
      </c>
      <c r="L40" s="11">
        <f>SUMIF($C$2:$C$39,"Subvenção",L2:L39)</f>
        <v/>
      </c>
      <c r="M40" s="11">
        <f>SUMIF($C$2:$C$39,"Subvenção",M2:M39)</f>
        <v/>
      </c>
      <c r="N40" s="11">
        <f>SUMIF($C$2:$C$39,"Subvenção",N2:N39)</f>
        <v/>
      </c>
      <c r="O40" s="11">
        <f>SUMIF($C$2:$C$39,"Subvenção",O2:O39)</f>
        <v/>
      </c>
      <c r="P40" s="11">
        <f>SUMIF($C$2:$C$39,"Subvenção",P2:P39)</f>
        <v/>
      </c>
    </row>
    <row r="41">
      <c r="B41" s="10" t="inlineStr">
        <is>
          <t>Contrapartida por mês</t>
        </is>
      </c>
      <c r="D41" s="11">
        <f>SUMIF($C$2:$C$39,"Contrapartida",D2:D39)</f>
        <v/>
      </c>
      <c r="E41" s="11">
        <f>SUMIF($C$2:$C$39,"Contrapartida",E2:E39)</f>
        <v/>
      </c>
      <c r="F41" s="11">
        <f>SUMIF($C$2:$C$39,"Contrapartida",F2:F39)</f>
        <v/>
      </c>
      <c r="G41" s="11">
        <f>SUMIF($C$2:$C$39,"Contrapartida",G2:G39)</f>
        <v/>
      </c>
      <c r="H41" s="11">
        <f>SUMIF($C$2:$C$39,"Contrapartida",H2:H39)</f>
        <v/>
      </c>
      <c r="I41" s="11">
        <f>SUMIF($C$2:$C$39,"Contrapartida",I2:I39)</f>
        <v/>
      </c>
      <c r="J41" s="11">
        <f>SUMIF($C$2:$C$39,"Contrapartida",J2:J39)</f>
        <v/>
      </c>
      <c r="K41" s="11">
        <f>SUMIF($C$2:$C$39,"Contrapartida",K2:K39)</f>
        <v/>
      </c>
      <c r="L41" s="11">
        <f>SUMIF($C$2:$C$39,"Contrapartida",L2:L39)</f>
        <v/>
      </c>
      <c r="M41" s="11">
        <f>SUMIF($C$2:$C$39,"Contrapartida",M2:M39)</f>
        <v/>
      </c>
      <c r="N41" s="11">
        <f>SUMIF($C$2:$C$39,"Contrapartida",N2:N39)</f>
        <v/>
      </c>
      <c r="O41" s="11">
        <f>SUMIF($C$2:$C$39,"Contrapartida",O2:O39)</f>
        <v/>
      </c>
      <c r="P41" s="11">
        <f>SUMIF($C$2:$C$39,"Contrapartida",P2:P39)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60" customWidth="1" min="3" max="3"/>
    <col width="14" customWidth="1" min="4" max="4"/>
  </cols>
  <sheetData>
    <row r="1">
      <c r="A1" s="6" t="inlineStr">
        <is>
          <t>Nº</t>
        </is>
      </c>
      <c r="B1" s="6" t="inlineStr">
        <is>
          <t>Objetivo específico (com prazo)</t>
        </is>
      </c>
      <c r="C1" s="6" t="inlineStr">
        <is>
          <t>Evidência de cumprimento</t>
        </is>
      </c>
      <c r="D1" s="6" t="inlineStr">
        <is>
          <t>Status</t>
        </is>
      </c>
    </row>
    <row r="2">
      <c r="A2" s="7" t="n">
        <v>1</v>
      </c>
      <c r="B2" s="7" t="inlineStr">
        <is>
          <t>Aprovar o protocolo técnico-sanitário e selecionar 5 propriedades leiteiras em Goiás (≥ 120 vacas em lactação), com termo de adesão, consentimento LGPD e linha de base de CCS, CBT e produção dos 3 meses anteriores — até o mês 2.</t>
        </is>
      </c>
      <c r="C2" s="7" t="inlineStr">
        <is>
          <t>Protocolo assinado pela RT veterinária; termos de adesão e consentimento; planilha de linha de base.</t>
        </is>
      </c>
      <c r="D2" s="7" t="inlineStr">
        <is>
          <t>A iniciar</t>
        </is>
      </c>
    </row>
    <row r="3">
      <c r="A3" s="7" t="n">
        <v>2</v>
      </c>
      <c r="B3" s="7" t="inlineStr">
        <is>
          <t>Construir 2 protótipos (nó de tanque e microestação de THI), validá-los em bancada e operar um deles por 30 dias em uma propriedade, com desvio ≤ 0,5 °C frente a registrador calibrado, entrega de dados ≥ 95% e recuperação automática após quedas de energia e de rede — até o mês 5.</t>
        </is>
      </c>
      <c r="C3" s="7" t="inlineStr">
        <is>
          <t>Relatório de ensaio de bancada; certificado de calibração RBC; 30 dias de série da prova de conceito.</t>
        </is>
      </c>
      <c r="D3" s="7" t="inlineStr">
        <is>
          <t>A iniciar</t>
        </is>
      </c>
    </row>
    <row r="4">
      <c r="A4" s="7" t="n">
        <v>3</v>
      </c>
      <c r="B4" s="7" t="inlineStr">
        <is>
          <t>Entregar o Módulo de Saúde do Rebanho v1.0 com 3 alertas — tendência de CCS (mastite subclínica), estresse térmico por THI local e falha de resfriamento do tanque — enviados por WhatsApp em até 15 minutos, com 100% dos testes críticos aprovados — até o mês 6.</t>
        </is>
      </c>
      <c r="C4" s="7" t="inlineStr">
        <is>
          <t>Relatório de testes; registro de versão; demonstração em produção.</t>
        </is>
      </c>
      <c r="D4" s="7" t="inlineStr">
        <is>
          <t>A iniciar</t>
        </is>
      </c>
    </row>
    <row r="5">
      <c r="A5" s="7" t="n">
        <v>4</v>
      </c>
      <c r="B5" s="7" t="inlineStr">
        <is>
          <t>Replicar os kits para as 5 propriedades e operar piloto de campo de 120 dias, com disponibilidade de dados ≥ 95% e ao menos 4 propriedades ativas ao final — meses 7 a 10.</t>
        </is>
      </c>
      <c r="C5" s="7" t="inlineStr">
        <is>
          <t>Registros de telemetria; relatório mensal de operação.</t>
        </is>
      </c>
      <c r="D5" s="7" t="inlineStr">
        <is>
          <t>A iniciar</t>
        </is>
      </c>
    </row>
    <row r="6">
      <c r="A6" s="7" t="n">
        <v>5</v>
      </c>
      <c r="B6" s="7" t="inlineStr">
        <is>
          <t>Validar os alertas sanitários contra referência veterinária (linha de base laboratorial no mês 6, CMT quinzenal e 550 análises de CCS/CBT), atingindo sensibilidade ≥ 70% com antecedência ≥ 7 dias sobre o laudo de rotina e precisão ≥ 60% — meses 6 a 11.</t>
        </is>
      </c>
      <c r="C6" s="7" t="inlineStr">
        <is>
          <t>Laudos do laboratório credenciado; registro de CMT; planilha de eventos e alertas.</t>
        </is>
      </c>
      <c r="D6" s="7" t="inlineStr">
        <is>
          <t>A iniciar</t>
        </is>
      </c>
    </row>
    <row r="7">
      <c r="A7" s="7" t="n">
        <v>6</v>
      </c>
      <c r="B7" s="7" t="inlineStr">
        <is>
          <t>Capacitar 25 produtores e ordenhadores e 5 técnicos em prevenção de mastite, manejo do estresse térmico e resposta aos alertas, com satisfação média ≥ 4 em escala de 1 a 5 — até o mês 7.</t>
        </is>
      </c>
      <c r="C7" s="7" t="inlineStr">
        <is>
          <t>Listas de presença; questionários de avaliação; cartilha.</t>
        </is>
      </c>
      <c r="D7" s="7" t="inlineStr">
        <is>
          <t>A iniciar</t>
        </is>
      </c>
    </row>
    <row r="8">
      <c r="A8" s="7" t="n">
        <v>7</v>
      </c>
      <c r="B8" s="7" t="inlineStr">
        <is>
          <t>Reduzir em ≥ 15% a CCS média de tanque das propriedades piloto em relação à linha de base e firmar ≥ 2 cartas de intenção com laticínios ou cooperativas para adoção do módulo — até o mês 12.</t>
        </is>
      </c>
      <c r="C8" s="7" t="inlineStr">
        <is>
          <t>Laudos de tanque antes e depois; cartas de intenção assinadas; relatório final.</t>
        </is>
      </c>
      <c r="D8" s="7" t="inlineStr">
        <is>
          <t>A iniciar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2026-09-25T22:43:31Z</dcterms:created>
  <dcterms:modified xmlns:dcterms="http://purl.org/dc/terms/" xmlns:xsi="http://www.w3.org/2001/XMLSchema-instance" xsi:type="dcterms:W3CDTF">2026-09-25T22:43:31Z</dcterms:modified>
</cp:coreProperties>
</file>